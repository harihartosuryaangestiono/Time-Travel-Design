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BF1AB8A1-A643-4A0E-AFA6-66FB31FD1B67}" xr6:coauthVersionLast="47" xr6:coauthVersionMax="47" xr10:uidLastSave="{00000000-0000-0000-0000-000000000000}"/>
  <bookViews>
    <workbookView xWindow="240" yWindow="105" windowWidth="14805" windowHeight="8010" activeTab="7" xr2:uid="{00000000-000D-0000-FFFF-FFFF00000000}"/>
  </bookViews>
  <sheets>
    <sheet name="Rekapitulasi Lapkeu" sheetId="12" r:id="rId1"/>
    <sheet name="Lapkeu Perusahaan" sheetId="1" r:id="rId2"/>
    <sheet name="Charity House - Bintaro" sheetId="30" r:id="rId3"/>
    <sheet name="3HI Office - Kemayoran" sheetId="29" r:id="rId4"/>
    <sheet name="FG House - Harapan Mulya" sheetId="28" r:id="rId5"/>
    <sheet name="PH House - Bogor" sheetId="25" r:id="rId6"/>
    <sheet name="DNN Office - Kemayoran" sheetId="21" r:id="rId7"/>
    <sheet name="RM Kost - Epi Suryadinata" sheetId="18" r:id="rId8"/>
    <sheet name="SJ House - Tria Andika (KM)" sheetId="27" r:id="rId9"/>
    <sheet name="Dapur Bebek - Bintaro" sheetId="24" r:id="rId10"/>
    <sheet name="SJ House - Tria Andika (LT 3)" sheetId="26" r:id="rId11"/>
    <sheet name="Kantor Blok SR - Kemayoran" sheetId="23" r:id="rId12"/>
    <sheet name="TJ House - Tommy Saputra (T3)" sheetId="22" r:id="rId13"/>
    <sheet name="SJ House - Tria Andika (LT2)" sheetId="20" r:id="rId14"/>
    <sheet name="CR House - Erick" sheetId="19" r:id="rId15"/>
    <sheet name="TJ House - Tommy Saputra (LT2)" sheetId="17" r:id="rId16"/>
    <sheet name="TJ House - Tommy Saputra (LT1)" sheetId="16" r:id="rId17"/>
    <sheet name="SJ House - Tria Andika (LT1)" sheetId="15" r:id="rId18"/>
    <sheet name="YP House - Yerry Primadi" sheetId="13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9" l="1"/>
  <c r="G475" i="1"/>
  <c r="J8" i="24"/>
  <c r="J7" i="24"/>
  <c r="J11" i="24"/>
  <c r="F85" i="24"/>
  <c r="J10" i="24"/>
  <c r="J11" i="29"/>
  <c r="J11" i="30"/>
  <c r="J15" i="1"/>
  <c r="J7" i="1"/>
  <c r="J17" i="1"/>
  <c r="J16" i="1"/>
  <c r="J14" i="1"/>
  <c r="J13" i="1"/>
  <c r="J10" i="1"/>
  <c r="F47" i="12"/>
  <c r="J12" i="1"/>
  <c r="J11" i="1"/>
  <c r="L8" i="1"/>
  <c r="D134" i="12"/>
  <c r="D133" i="12"/>
  <c r="D132" i="12"/>
  <c r="D131" i="12"/>
  <c r="D130" i="12"/>
  <c r="D128" i="12"/>
  <c r="D127" i="12"/>
  <c r="D126" i="12"/>
  <c r="D124" i="12"/>
  <c r="D123" i="12"/>
  <c r="D122" i="12"/>
  <c r="D121" i="12"/>
  <c r="D120" i="12"/>
  <c r="D119" i="12"/>
  <c r="D118" i="12"/>
  <c r="D114" i="12"/>
  <c r="D113" i="12"/>
  <c r="D112" i="12"/>
  <c r="D111" i="12"/>
  <c r="D110" i="12"/>
  <c r="D108" i="12"/>
  <c r="D107" i="12"/>
  <c r="D106" i="12"/>
  <c r="D105" i="12"/>
  <c r="D104" i="12"/>
  <c r="D103" i="12"/>
  <c r="D102" i="12"/>
  <c r="D101" i="12"/>
  <c r="D100" i="12"/>
  <c r="D99" i="12"/>
  <c r="D98" i="12"/>
  <c r="D94" i="12"/>
  <c r="D93" i="12"/>
  <c r="D92" i="12"/>
  <c r="D91" i="12"/>
  <c r="D90" i="12"/>
  <c r="D88" i="12"/>
  <c r="D87" i="12"/>
  <c r="D86" i="12"/>
  <c r="D84" i="12"/>
  <c r="D83" i="12"/>
  <c r="D81" i="12"/>
  <c r="D80" i="12"/>
  <c r="D79" i="12"/>
  <c r="D78" i="12"/>
  <c r="D74" i="12"/>
  <c r="D73" i="12"/>
  <c r="D72" i="12"/>
  <c r="D71" i="12"/>
  <c r="D70" i="12"/>
  <c r="D68" i="12"/>
  <c r="D67" i="12"/>
  <c r="D66" i="12"/>
  <c r="L7" i="21"/>
  <c r="K7" i="21"/>
  <c r="J7" i="21" s="1"/>
  <c r="D64" i="12"/>
  <c r="D63" i="12"/>
  <c r="D61" i="12"/>
  <c r="D60" i="12"/>
  <c r="D59" i="12"/>
  <c r="D58" i="12"/>
  <c r="F461" i="1"/>
  <c r="L9" i="1" s="1"/>
  <c r="J8" i="18"/>
  <c r="D82" i="12" s="1"/>
  <c r="J7" i="18"/>
  <c r="D65" i="12"/>
  <c r="J7" i="25"/>
  <c r="D69" i="12" s="1"/>
  <c r="G15" i="28"/>
  <c r="G16" i="28"/>
  <c r="G17" i="28"/>
  <c r="G18" i="28"/>
  <c r="G19" i="28"/>
  <c r="G20" i="28"/>
  <c r="G21" i="28"/>
  <c r="G22" i="28"/>
  <c r="J11" i="28"/>
  <c r="J10" i="28"/>
  <c r="J7" i="28"/>
  <c r="J8" i="28"/>
  <c r="G16" i="29"/>
  <c r="G17" i="29"/>
  <c r="G18" i="29"/>
  <c r="J8" i="29"/>
  <c r="J7" i="29"/>
  <c r="J8" i="30"/>
  <c r="J7" i="30"/>
  <c r="J14" i="18"/>
  <c r="J14" i="29"/>
  <c r="E126" i="18"/>
  <c r="F126" i="18"/>
  <c r="G126" i="18"/>
  <c r="E88" i="1"/>
  <c r="F77" i="25"/>
  <c r="J8" i="25" s="1"/>
  <c r="D89" i="12" s="1"/>
  <c r="J15" i="18"/>
  <c r="G14" i="29"/>
  <c r="G15" i="29"/>
  <c r="J10" i="29"/>
  <c r="E87" i="25"/>
  <c r="D19" i="12"/>
  <c r="D12" i="12"/>
  <c r="D24" i="12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 s="1"/>
  <c r="G78" i="25" s="1"/>
  <c r="G79" i="25" s="1"/>
  <c r="G80" i="25" s="1"/>
  <c r="G81" i="25" s="1"/>
  <c r="G14" i="28"/>
  <c r="G13" i="28"/>
  <c r="G12" i="28"/>
  <c r="G11" i="28"/>
  <c r="G10" i="28"/>
  <c r="G9" i="28"/>
  <c r="G13" i="29"/>
  <c r="F43" i="29"/>
  <c r="G43" i="29"/>
  <c r="E426" i="1"/>
  <c r="F43" i="28"/>
  <c r="G43" i="28"/>
  <c r="E424" i="1"/>
  <c r="F87" i="25"/>
  <c r="G87" i="25"/>
  <c r="E244" i="1"/>
  <c r="G7" i="1"/>
  <c r="G8" i="1"/>
  <c r="G9" i="1"/>
  <c r="E10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E26" i="1"/>
  <c r="G26" i="1"/>
  <c r="G27" i="1"/>
  <c r="G28" i="1"/>
  <c r="G29" i="1"/>
  <c r="F30" i="1"/>
  <c r="G30" i="1"/>
  <c r="F31" i="1"/>
  <c r="G31" i="1"/>
  <c r="G32" i="1"/>
  <c r="F33" i="1"/>
  <c r="G33" i="1"/>
  <c r="G34" i="1"/>
  <c r="G35" i="1"/>
  <c r="G36" i="1"/>
  <c r="G37" i="1"/>
  <c r="G38" i="1"/>
  <c r="G39" i="1"/>
  <c r="E40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E83" i="1"/>
  <c r="G83" i="1"/>
  <c r="G84" i="1"/>
  <c r="G85" i="1"/>
  <c r="G86" i="1"/>
  <c r="G87" i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E111" i="1"/>
  <c r="E112" i="1"/>
  <c r="E165" i="1"/>
  <c r="F190" i="1"/>
  <c r="F198" i="1"/>
  <c r="E210" i="1"/>
  <c r="E269" i="1"/>
  <c r="E393" i="1"/>
  <c r="J7" i="27"/>
  <c r="G45" i="27"/>
  <c r="G46" i="27"/>
  <c r="F46" i="27"/>
  <c r="F205" i="21"/>
  <c r="E43" i="30"/>
  <c r="F43" i="30"/>
  <c r="G43" i="30"/>
  <c r="E452" i="1" s="1"/>
  <c r="G44" i="30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77" i="1"/>
  <c r="G88" i="25"/>
  <c r="D23" i="12"/>
  <c r="D22" i="12"/>
  <c r="J8" i="27"/>
  <c r="G8" i="28"/>
  <c r="G12" i="29"/>
  <c r="G11" i="29"/>
  <c r="G10" i="29"/>
  <c r="G9" i="29"/>
  <c r="G8" i="29"/>
  <c r="F473" i="1"/>
  <c r="G476" i="1"/>
  <c r="J13" i="21"/>
  <c r="J8" i="21"/>
  <c r="D85" i="12" s="1"/>
  <c r="E43" i="29"/>
  <c r="G44" i="29"/>
  <c r="G7" i="29"/>
  <c r="J9" i="25"/>
  <c r="D109" i="12" s="1"/>
  <c r="G7" i="28"/>
  <c r="E43" i="28"/>
  <c r="G44" i="28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 s="1"/>
  <c r="G193" i="21" s="1"/>
  <c r="G194" i="21" s="1"/>
  <c r="G195" i="21" s="1"/>
  <c r="G196" i="21" s="1"/>
  <c r="G197" i="21" s="1"/>
  <c r="G198" i="21" s="1"/>
  <c r="G7" i="24"/>
  <c r="G8" i="24"/>
  <c r="G9" i="24"/>
  <c r="G10" i="24"/>
  <c r="G11" i="24"/>
  <c r="G12" i="24"/>
  <c r="F13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J10" i="27"/>
  <c r="E85" i="24"/>
  <c r="G85" i="24"/>
  <c r="E240" i="1" s="1"/>
  <c r="E205" i="21"/>
  <c r="G205" i="21" s="1"/>
  <c r="J13" i="27"/>
  <c r="J14" i="21"/>
  <c r="I477" i="1"/>
  <c r="I476" i="1"/>
  <c r="I475" i="1"/>
  <c r="E38" i="12"/>
  <c r="E33" i="12"/>
  <c r="J13" i="24"/>
  <c r="J10" i="25"/>
  <c r="D129" i="12" s="1"/>
  <c r="J14" i="27"/>
  <c r="J14" i="24"/>
  <c r="J10" i="21"/>
  <c r="D125" i="12" s="1"/>
  <c r="D15" i="12"/>
  <c r="D18" i="12"/>
  <c r="E36" i="12"/>
  <c r="E37" i="12"/>
  <c r="E39" i="12"/>
  <c r="E42" i="12"/>
  <c r="E43" i="12"/>
  <c r="E44" i="12"/>
  <c r="E45" i="12"/>
  <c r="F52" i="12"/>
  <c r="F50" i="12"/>
  <c r="F51" i="12"/>
  <c r="J13" i="16"/>
  <c r="J13" i="25"/>
  <c r="J14" i="25"/>
  <c r="J8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F44" i="26"/>
  <c r="E44" i="26"/>
  <c r="G44" i="26"/>
  <c r="J7" i="26"/>
  <c r="J10" i="26"/>
  <c r="D20" i="12"/>
  <c r="E46" i="27"/>
  <c r="J11" i="27"/>
  <c r="D8" i="12"/>
  <c r="D9" i="12"/>
  <c r="D10" i="12"/>
  <c r="D11" i="12"/>
  <c r="D13" i="12"/>
  <c r="D14" i="12"/>
  <c r="D16" i="12"/>
  <c r="D17" i="12"/>
  <c r="G45" i="26"/>
  <c r="G15" i="23"/>
  <c r="E14" i="23"/>
  <c r="G14" i="23"/>
  <c r="E67" i="22"/>
  <c r="F67" i="22"/>
  <c r="G67" i="22"/>
  <c r="G68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J10" i="22"/>
  <c r="J8" i="22"/>
  <c r="J7" i="22"/>
  <c r="J11" i="26"/>
  <c r="J11" i="25"/>
  <c r="J11" i="23"/>
  <c r="J8" i="23"/>
  <c r="J7" i="23"/>
  <c r="G55" i="20"/>
  <c r="G23" i="19"/>
  <c r="G54" i="17"/>
  <c r="G61" i="16"/>
  <c r="G187" i="15"/>
  <c r="G12" i="23"/>
  <c r="F14" i="23"/>
  <c r="G10" i="23"/>
  <c r="G11" i="23"/>
  <c r="G7" i="23"/>
  <c r="G8" i="23"/>
  <c r="G9" i="23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J8" i="20"/>
  <c r="E54" i="20"/>
  <c r="F54" i="20"/>
  <c r="G54" i="20"/>
  <c r="J7" i="20"/>
  <c r="J10" i="20"/>
  <c r="J11" i="22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J10" i="17"/>
  <c r="J8" i="17"/>
  <c r="J7" i="17"/>
  <c r="J7" i="19"/>
  <c r="J8" i="19"/>
  <c r="J10" i="19"/>
  <c r="E53" i="17"/>
  <c r="F53" i="17"/>
  <c r="G53" i="17"/>
  <c r="F22" i="19"/>
  <c r="G20" i="19"/>
  <c r="G21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E22" i="19"/>
  <c r="G22" i="19"/>
  <c r="J13" i="20"/>
  <c r="J13" i="19"/>
  <c r="J14" i="19"/>
  <c r="J14" i="20"/>
  <c r="J13" i="17"/>
  <c r="J11" i="17"/>
  <c r="J11" i="19"/>
  <c r="J11" i="20"/>
  <c r="J14" i="17"/>
  <c r="G185" i="15"/>
  <c r="E186" i="15"/>
  <c r="G186" i="15"/>
  <c r="J7" i="16"/>
  <c r="J8" i="16"/>
  <c r="G59" i="16"/>
  <c r="G58" i="16"/>
  <c r="F60" i="16"/>
  <c r="G184" i="15"/>
  <c r="J8" i="15"/>
  <c r="J10" i="15"/>
  <c r="J10" i="16"/>
  <c r="F113" i="15"/>
  <c r="J7" i="15"/>
  <c r="F186" i="15"/>
  <c r="E60" i="16"/>
  <c r="G60" i="16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J14" i="16"/>
  <c r="J11" i="16"/>
  <c r="J7" i="13"/>
  <c r="E11" i="13"/>
  <c r="F11" i="13"/>
  <c r="G11" i="13"/>
  <c r="G7" i="13"/>
  <c r="G8" i="13"/>
  <c r="G9" i="13"/>
  <c r="G10" i="13"/>
  <c r="J11" i="15"/>
  <c r="D21" i="12"/>
  <c r="G47" i="27"/>
  <c r="J11" i="21" l="1"/>
  <c r="E29" i="12"/>
  <c r="J11" i="18"/>
  <c r="D62" i="12"/>
  <c r="E27" i="12"/>
  <c r="E28" i="12"/>
  <c r="E30" i="12"/>
  <c r="K8" i="1"/>
  <c r="J8" i="1" s="1"/>
  <c r="E34" i="12" s="1"/>
  <c r="K9" i="1"/>
  <c r="J9" i="1" s="1"/>
  <c r="E35" i="12" s="1"/>
  <c r="J18" i="1"/>
  <c r="J19" i="1" s="1"/>
  <c r="F42" i="12"/>
  <c r="F8" i="12"/>
  <c r="G111" i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E138" i="1"/>
  <c r="G206" i="21"/>
  <c r="F27" i="12" l="1"/>
  <c r="D31" i="12" s="1"/>
  <c r="F33" i="12"/>
  <c r="D46" i="12"/>
  <c r="G138" i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E473" i="1"/>
  <c r="G473" i="1" s="1"/>
  <c r="G479" i="1" s="1"/>
  <c r="D40" i="12" l="1"/>
  <c r="E46" i="12"/>
  <c r="F46" i="12" s="1"/>
  <c r="F48" i="12" s="1"/>
  <c r="F54" i="12" s="1"/>
  <c r="F55" i="12"/>
</calcChain>
</file>

<file path=xl/sharedStrings.xml><?xml version="1.0" encoding="utf-8"?>
<sst xmlns="http://schemas.openxmlformats.org/spreadsheetml/2006/main" count="1896" uniqueCount="819">
  <si>
    <t>PT. RUMA INOVASI INDONESIA</t>
  </si>
  <si>
    <t>Time Travel Design</t>
  </si>
  <si>
    <t>Laporan Keuangan</t>
  </si>
  <si>
    <t>No</t>
  </si>
  <si>
    <t>Keterangan</t>
  </si>
  <si>
    <t>Debit</t>
  </si>
  <si>
    <t>Kredit</t>
  </si>
  <si>
    <t>Total</t>
  </si>
  <si>
    <t>Penghasilan / Omset / Nilai Kontrak (Revenue)</t>
  </si>
  <si>
    <t>YP House  - Yerry Primadi</t>
  </si>
  <si>
    <t>SJ House - Tria Andika (LT1)</t>
  </si>
  <si>
    <t>TJ House - Tommy Saputra (LT1)</t>
  </si>
  <si>
    <t>TJ House - Tommy Saputra (LT2)</t>
  </si>
  <si>
    <t>RM Kost - Epi Suryadinata</t>
  </si>
  <si>
    <t>CR House - Erick</t>
  </si>
  <si>
    <t>SJ House - Tria Andika (LT2)</t>
  </si>
  <si>
    <t>DNN Office - Albert Anthonius Lim</t>
  </si>
  <si>
    <t>TJ House - Tommy Saputra (T3)</t>
  </si>
  <si>
    <t>Kantor Blok SR - PT Indovisual</t>
  </si>
  <si>
    <t>Dapur Bebek - Enno Lerian</t>
  </si>
  <si>
    <t>PH House - Bogor</t>
  </si>
  <si>
    <t>SJ House - Tria Andika (LT 3)</t>
  </si>
  <si>
    <t>SJ House - Tria Andika (KM)</t>
  </si>
  <si>
    <t>FG House - Gregorius Figo</t>
  </si>
  <si>
    <t>3HI - PT Indovisual</t>
  </si>
  <si>
    <t>Charity House - Pak Edwin</t>
  </si>
  <si>
    <t>Harga Pokok Penjualan (HPP) / Cost Of Goods Sold (COGS)</t>
  </si>
  <si>
    <t>Bahan Baku Utama / Material</t>
  </si>
  <si>
    <t>Upah Tukang</t>
  </si>
  <si>
    <t>Sewa Alat Proyek</t>
  </si>
  <si>
    <t>Transportasi Lapangan</t>
  </si>
  <si>
    <t>Laba Kotor (Gross Income)</t>
  </si>
  <si>
    <t>Biaya Operasional (Operational Expenses)</t>
  </si>
  <si>
    <t>Gaji dan Upah Karyawan</t>
  </si>
  <si>
    <t>Transportasi Operasional</t>
  </si>
  <si>
    <t>Biaya Konsumsi Kantor</t>
  </si>
  <si>
    <t>Biaya Jamuan / Representasi</t>
  </si>
  <si>
    <t xml:space="preserve">Biaya Marketing </t>
  </si>
  <si>
    <t>Kebutuhan Workshop</t>
  </si>
  <si>
    <t>Biaya Administrasi Finansial</t>
  </si>
  <si>
    <t>Laba Bersih (Net Income)</t>
  </si>
  <si>
    <t>Biaya Aset dan Investasi (Capital Expenditure)</t>
  </si>
  <si>
    <t>Renovasi Kantor</t>
  </si>
  <si>
    <t>Legalitas Perusahaan</t>
  </si>
  <si>
    <t>Inventaris</t>
  </si>
  <si>
    <t>Perangkat Gadget</t>
  </si>
  <si>
    <t>Total Kas</t>
  </si>
  <si>
    <t>Kas Awal 2025</t>
  </si>
  <si>
    <t>Kas Saat Ini</t>
  </si>
  <si>
    <t>Kasbon Om Doddy</t>
  </si>
  <si>
    <t>Kasbon Emir</t>
  </si>
  <si>
    <t>Kasbon Dustin</t>
  </si>
  <si>
    <t>Belanja Bahan Baku</t>
  </si>
  <si>
    <t>Tanggal</t>
  </si>
  <si>
    <t>Saldo Akhir</t>
  </si>
  <si>
    <t>Pengelompokan</t>
  </si>
  <si>
    <t>Kas Modal 2025</t>
  </si>
  <si>
    <t>WPC Kebutuhan Kantor</t>
  </si>
  <si>
    <t>Biaya Administrasi BCA</t>
  </si>
  <si>
    <t>Final Project - YP House</t>
  </si>
  <si>
    <t>Triplek Kebutuhan Kantor</t>
  </si>
  <si>
    <t>Stop Kontak Kebutuhan Kantor</t>
  </si>
  <si>
    <t>HPL Kebutuhan Kantor</t>
  </si>
  <si>
    <t>Lembur Meja Kantor Mas Imam</t>
  </si>
  <si>
    <t>Gajian Emir - Januari</t>
  </si>
  <si>
    <t>Gajian Dustin - Januari</t>
  </si>
  <si>
    <t>Print Flyer</t>
  </si>
  <si>
    <t>Bunga Bank BCA</t>
  </si>
  <si>
    <t>Pajak Bunga Bank BCA</t>
  </si>
  <si>
    <t>Instagram Ads</t>
  </si>
  <si>
    <t>Reimburse Bensin Emir sebar Brosur</t>
  </si>
  <si>
    <t>Print Company Profile</t>
  </si>
  <si>
    <t>Reimburse Bensin Emir ke Bandung</t>
  </si>
  <si>
    <t>Print Brosur Murah</t>
  </si>
  <si>
    <t>Final Project - SJ House (LT1)</t>
  </si>
  <si>
    <t>Gajian Emir - Februari</t>
  </si>
  <si>
    <t>Gajian Dustin - Februari</t>
  </si>
  <si>
    <t>Bukber Kantor</t>
  </si>
  <si>
    <t>Makan Minum Mang Edi</t>
  </si>
  <si>
    <t>Kampas Rem Road Glide</t>
  </si>
  <si>
    <t>Print Fyler</t>
  </si>
  <si>
    <t>Hampers Lebaran Bu Devi dan Mas Arya</t>
  </si>
  <si>
    <t>DP Balik Nama Akta Perusahaan</t>
  </si>
  <si>
    <t>Ganti Ban Depan Road Glide</t>
  </si>
  <si>
    <t>Final Project - TJ House (LT1)</t>
  </si>
  <si>
    <t>Fee Marketing Darren</t>
  </si>
  <si>
    <t>Gajian Emir - Maret</t>
  </si>
  <si>
    <t>Gajian Dustin - Maret</t>
  </si>
  <si>
    <t>Reimburse Bensin Dustin sebar Brosur</t>
  </si>
  <si>
    <t>Reimburse Bensin Dustin Ngukur</t>
  </si>
  <si>
    <t>Termin II Balik Nama Akta Perusahaan</t>
  </si>
  <si>
    <t>Reimburse Bensin Emir Meeting</t>
  </si>
  <si>
    <t>Reimburse Bensin Dustin Meeting</t>
  </si>
  <si>
    <t>Beli Mesin Jigsaw</t>
  </si>
  <si>
    <t>Makan Minum Tukang</t>
  </si>
  <si>
    <t>Makan Soto di Bogor</t>
  </si>
  <si>
    <t>Reimburse Transport Emir</t>
  </si>
  <si>
    <t>Rokok dan Minum</t>
  </si>
  <si>
    <t>Makan Siang</t>
  </si>
  <si>
    <t>Beli Mesin Circle</t>
  </si>
  <si>
    <t>Fee Marketing Mas Rizky</t>
  </si>
  <si>
    <t>Reimburse Transport Dustin</t>
  </si>
  <si>
    <t>Makan Padang</t>
  </si>
  <si>
    <t>Transport Dustin</t>
  </si>
  <si>
    <t>Kopi Kenangan</t>
  </si>
  <si>
    <t>Makan Sei Sapi</t>
  </si>
  <si>
    <t>Lalamove Barang ke Melur</t>
  </si>
  <si>
    <t>Kerja di Higround</t>
  </si>
  <si>
    <t>Gajian Dustin - April</t>
  </si>
  <si>
    <t>Gajian Emir - April</t>
  </si>
  <si>
    <t>Grab Mang Edi ke Melur</t>
  </si>
  <si>
    <t>Belanja Plafon Kantor</t>
  </si>
  <si>
    <t>Beli Mesin Gerinda</t>
  </si>
  <si>
    <t>Final Project - TJ House (LT2)</t>
  </si>
  <si>
    <t>Beli Rokok</t>
  </si>
  <si>
    <t>Belanjaan Renov Kantor</t>
  </si>
  <si>
    <t>Makan Bebek Rojo Sambal</t>
  </si>
  <si>
    <t>Makan Soto</t>
  </si>
  <si>
    <t>Final Project - RM Kost</t>
  </si>
  <si>
    <t>Makan Rokok Tukang</t>
  </si>
  <si>
    <t>Gajian Mang Edi Renov Kantor</t>
  </si>
  <si>
    <t>Reimburse Bensin Emir</t>
  </si>
  <si>
    <t>Makan Nakotiam Bogor</t>
  </si>
  <si>
    <t>Makan Sate Maranggi Bogor</t>
  </si>
  <si>
    <t>Grab Mas Imam</t>
  </si>
  <si>
    <t>Makan Sate</t>
  </si>
  <si>
    <t>Makan Bubur</t>
  </si>
  <si>
    <t>Makan Sate Kambing</t>
  </si>
  <si>
    <t>Reimburse Bensin ke Bandung</t>
  </si>
  <si>
    <t>Reimburse Bensin Dustin</t>
  </si>
  <si>
    <t>Beli Mesin Jack Hammer</t>
  </si>
  <si>
    <t>Grab Dustin Meeting PIK</t>
  </si>
  <si>
    <t>Final Project - CR House</t>
  </si>
  <si>
    <t>Final Project - SJ House (LT2)</t>
  </si>
  <si>
    <t>Grab Mas Imam Ke Bayem</t>
  </si>
  <si>
    <t>Gajian Dustin - Mei</t>
  </si>
  <si>
    <t>Gajian Emir - Mei</t>
  </si>
  <si>
    <t>Makan Sukiyaki Rin</t>
  </si>
  <si>
    <t>Sayap Suci</t>
  </si>
  <si>
    <t>Beli HP Mas Imam</t>
  </si>
  <si>
    <t>Gajian Bumi - Mei</t>
  </si>
  <si>
    <t>Makan Winglok</t>
  </si>
  <si>
    <t>Makan Ayam Bakar</t>
  </si>
  <si>
    <t>Bikin Stempel</t>
  </si>
  <si>
    <t>Makan Gyukaku</t>
  </si>
  <si>
    <t>Final Project - DNN Office</t>
  </si>
  <si>
    <t>Grab Emir Meeting Bandung</t>
  </si>
  <si>
    <t>Taichan Novita</t>
  </si>
  <si>
    <t>Kopi Tuku</t>
  </si>
  <si>
    <t>Kopi Tomoro</t>
  </si>
  <si>
    <t>Gathering Padel</t>
  </si>
  <si>
    <t>Makan Mcd</t>
  </si>
  <si>
    <t>Papan Tulis Kantor</t>
  </si>
  <si>
    <t>Beli Motor Darren</t>
  </si>
  <si>
    <t>Rokok Tukang</t>
  </si>
  <si>
    <t>Isi Bensin Transport Tukang</t>
  </si>
  <si>
    <t>Martabak</t>
  </si>
  <si>
    <t>Helm Tukang</t>
  </si>
  <si>
    <t>Flazz Tukang</t>
  </si>
  <si>
    <t>Isi Saldo Flazz</t>
  </si>
  <si>
    <t>Tianlala</t>
  </si>
  <si>
    <t>BPJS Mas Imam</t>
  </si>
  <si>
    <t>Gojek dan Stasiun Dustin</t>
  </si>
  <si>
    <t>SPC Kantor</t>
  </si>
  <si>
    <t>Servis Motor</t>
  </si>
  <si>
    <t>Final Project - TJ House (T3)</t>
  </si>
  <si>
    <t>Gajian Renov Kantor</t>
  </si>
  <si>
    <t>Beli Piringan Motor Mio</t>
  </si>
  <si>
    <t>Reimburse Transport Dustin Rawamangun</t>
  </si>
  <si>
    <t>Reimburse Transport Kemayoran Dustin</t>
  </si>
  <si>
    <t>Makan Sentul</t>
  </si>
  <si>
    <t>Bayar Sewa Workshop</t>
  </si>
  <si>
    <t>Transport Grab Dustin</t>
  </si>
  <si>
    <t>Fee Marketing Stephen</t>
  </si>
  <si>
    <t>Minum dan Rokok</t>
  </si>
  <si>
    <t>Kaca Film Kantor</t>
  </si>
  <si>
    <t>Lalamove SPC Kantor</t>
  </si>
  <si>
    <t>Listrik Bayem</t>
  </si>
  <si>
    <t>Aibon SPC</t>
  </si>
  <si>
    <t>Reimburse Bensin Sentul Emir</t>
  </si>
  <si>
    <t>Reimburse Bensin Rawamangun Emir</t>
  </si>
  <si>
    <t>Lalamove Workshop</t>
  </si>
  <si>
    <t>Top Up Flazz</t>
  </si>
  <si>
    <t>Gajian Emir - Juni</t>
  </si>
  <si>
    <t>Gajian Dustin - Juni</t>
  </si>
  <si>
    <t>Makan Solaria</t>
  </si>
  <si>
    <t>Reimbuse Bensin Dustin Kemayoran, Rawamangun, SCG</t>
  </si>
  <si>
    <t>Terpal Workshop</t>
  </si>
  <si>
    <t>Print Meeting Dapur Bu Enno</t>
  </si>
  <si>
    <t>Beli Adaptor HDMI</t>
  </si>
  <si>
    <t>Gajian Bumi - Juni</t>
  </si>
  <si>
    <t>Makan Nasi Goreng Kambing</t>
  </si>
  <si>
    <t>Tarik Uang Parkir</t>
  </si>
  <si>
    <t>Makan Pagi Sore</t>
  </si>
  <si>
    <t>Rokok dan Kopi</t>
  </si>
  <si>
    <t>Taragak Raso</t>
  </si>
  <si>
    <t>Listrik Workshop</t>
  </si>
  <si>
    <t>Final Project - Kantor Blok SR</t>
  </si>
  <si>
    <t>Makan Sederhana</t>
  </si>
  <si>
    <t>Beli Minum Tukang</t>
  </si>
  <si>
    <t>Makan Lele Kremes</t>
  </si>
  <si>
    <t>Beli TV Kantor</t>
  </si>
  <si>
    <t>Bahan Interior Kantor</t>
  </si>
  <si>
    <t>Ongkir TV Kantor</t>
  </si>
  <si>
    <t>Minum Tukang</t>
  </si>
  <si>
    <t>Makan Kwetiau Mangga Besar</t>
  </si>
  <si>
    <t>Mata Bor untuk Pasang TV Kantor</t>
  </si>
  <si>
    <t>Bonus Mas Imam Pasang TV Kantor</t>
  </si>
  <si>
    <t>Beli MaxStream Nonton Bola</t>
  </si>
  <si>
    <t>Makan Richeese</t>
  </si>
  <si>
    <t>Interior Kantor</t>
  </si>
  <si>
    <t>Makan Meeting PH House</t>
  </si>
  <si>
    <t>Upah Interior Kantor</t>
  </si>
  <si>
    <t>Reimburse Transport Grab Dustin</t>
  </si>
  <si>
    <t>DP Ganti Bahan Kursi Kantor</t>
  </si>
  <si>
    <t>Makan Imperial Kitchen</t>
  </si>
  <si>
    <t>Final Project - Dapur Bebek</t>
  </si>
  <si>
    <t>Listrik Workshop Gunung Sindur</t>
  </si>
  <si>
    <t>Final Project - PH House</t>
  </si>
  <si>
    <t>Ganti Bahan Kursi Kantor</t>
  </si>
  <si>
    <t>DP Bor Sumur Workshop</t>
  </si>
  <si>
    <t>Gajian Mas Imam Interior Kantor</t>
  </si>
  <si>
    <t>Makan Tersereh</t>
  </si>
  <si>
    <t>Print Compro</t>
  </si>
  <si>
    <t>WPC Kantor</t>
  </si>
  <si>
    <t>Kopi Point</t>
  </si>
  <si>
    <t>Kabel HDMI Kantor</t>
  </si>
  <si>
    <t>Bensin Mobil Emir</t>
  </si>
  <si>
    <t>Lalamove &amp; Kabel Workshop</t>
  </si>
  <si>
    <t>Gembok dan Rantai Workshop</t>
  </si>
  <si>
    <t>Pelunasan Bor Air Workshop</t>
  </si>
  <si>
    <t>Material Gunung Sindur</t>
  </si>
  <si>
    <t>Sate Maranggi Bogor</t>
  </si>
  <si>
    <t>Roti Oleh Oleh Bogor</t>
  </si>
  <si>
    <t>Jajanan Surken</t>
  </si>
  <si>
    <t>Final Project - SJ House (LT 3)</t>
  </si>
  <si>
    <t>Makan Kantor</t>
  </si>
  <si>
    <t>Belanja Material Gunung Sindur</t>
  </si>
  <si>
    <t>Pelunasan Listrik Gunung Sindur</t>
  </si>
  <si>
    <t>Print Berkas Tender Narogong</t>
  </si>
  <si>
    <t>Rokok</t>
  </si>
  <si>
    <t>Pecel Lele</t>
  </si>
  <si>
    <t>Print Invoice dan Materai</t>
  </si>
  <si>
    <t>Fee Marketing Pak Aby</t>
  </si>
  <si>
    <t>Materai untuk Rekening PT</t>
  </si>
  <si>
    <t>Grab Mang Edi</t>
  </si>
  <si>
    <t>Pelunasan Sofa Kantor</t>
  </si>
  <si>
    <t>Reimburse Transport Emir 2 Minggu</t>
  </si>
  <si>
    <t>Print Kontrak</t>
  </si>
  <si>
    <t>Lalamove Interior Kantor</t>
  </si>
  <si>
    <t>Gajian Emir - July</t>
  </si>
  <si>
    <t>Gajian Dustin - July</t>
  </si>
  <si>
    <t>Bonus Gajian Mas Imam</t>
  </si>
  <si>
    <t>Material Workshop</t>
  </si>
  <si>
    <t>Main Billiard</t>
  </si>
  <si>
    <t>Lampu Workshop</t>
  </si>
  <si>
    <t>Gajian Bumi - July</t>
  </si>
  <si>
    <t>Papan Bunga Mas Arya</t>
  </si>
  <si>
    <t>Uang RT Gunung Sindur</t>
  </si>
  <si>
    <t>Makan dan Rokok</t>
  </si>
  <si>
    <t>Tiket Giias</t>
  </si>
  <si>
    <t>Print Gambar</t>
  </si>
  <si>
    <t>Makan Wingheng</t>
  </si>
  <si>
    <t>Makan dan Minum Tukang</t>
  </si>
  <si>
    <t>Makan Sop Kambing Anen</t>
  </si>
  <si>
    <t>Print Berkas Perusahaan</t>
  </si>
  <si>
    <t>Makan Arang Jinsa Galbi</t>
  </si>
  <si>
    <t>Minum Minum Kantor</t>
  </si>
  <si>
    <t>Makan Taragak Raso</t>
  </si>
  <si>
    <t>Reimburse Bensin Bumi</t>
  </si>
  <si>
    <t>Ngopi HiGround</t>
  </si>
  <si>
    <t>Beli Capcut</t>
  </si>
  <si>
    <t>Makan Atria Sudirman</t>
  </si>
  <si>
    <t>Grab</t>
  </si>
  <si>
    <t>Makan Ayam Gohyong</t>
  </si>
  <si>
    <t>Reimburse Mingguan Emir</t>
  </si>
  <si>
    <t>Print dan Materai</t>
  </si>
  <si>
    <t>Makan Nyonya Suharti</t>
  </si>
  <si>
    <t>Grab Dustin</t>
  </si>
  <si>
    <t>Makan Ayam Tersereh</t>
  </si>
  <si>
    <t>Top Up Etoll</t>
  </si>
  <si>
    <t>Isi Bensin Bumi</t>
  </si>
  <si>
    <t>Sate Bundaran</t>
  </si>
  <si>
    <t>HPL Kantor</t>
  </si>
  <si>
    <t>LED Strip Kantor</t>
  </si>
  <si>
    <t>Gajian Emir - Agustus</t>
  </si>
  <si>
    <t>Makan MM Juice</t>
  </si>
  <si>
    <t>Makan Sate Pertok</t>
  </si>
  <si>
    <t>Terea Iqos</t>
  </si>
  <si>
    <t>Makan Moon Chicken</t>
  </si>
  <si>
    <t>Rokok dan Makan</t>
  </si>
  <si>
    <t>Pelunasan Perubahan Akta PT</t>
  </si>
  <si>
    <t>Gajian Dustin - Agustus</t>
  </si>
  <si>
    <t>Gajian Bumi - Agustus</t>
  </si>
  <si>
    <t>Grab Dustin dan Emir</t>
  </si>
  <si>
    <t>Makan Sei Indonesia</t>
  </si>
  <si>
    <t>Makan Sate Bundaran</t>
  </si>
  <si>
    <t>Makan SSB</t>
  </si>
  <si>
    <t>Final Project - SJ House (KM)</t>
  </si>
  <si>
    <t>Gojek Dustin</t>
  </si>
  <si>
    <t>The Daun</t>
  </si>
  <si>
    <t>Reimburse Transport Mingguan Emir</t>
  </si>
  <si>
    <t>Higround Coffee</t>
  </si>
  <si>
    <t>Lalamove Katalog</t>
  </si>
  <si>
    <t>Upah Mas Imam Interior Kantor</t>
  </si>
  <si>
    <t>Makan Maranggi</t>
  </si>
  <si>
    <t>Reimburse Grab Dustin</t>
  </si>
  <si>
    <t>Makan Kwetiau Aho</t>
  </si>
  <si>
    <t>Makan Shake Shake</t>
  </si>
  <si>
    <t>Uang Rokok Mang Amin</t>
  </si>
  <si>
    <t>Makan Bakmi Villa</t>
  </si>
  <si>
    <t>Makan Bakmi Jawa</t>
  </si>
  <si>
    <t>Reimburse Makanan Emir</t>
  </si>
  <si>
    <t>Makan Mie Alip</t>
  </si>
  <si>
    <t>Final Project - FG House</t>
  </si>
  <si>
    <t>Final Project - 3HI Office</t>
  </si>
  <si>
    <t>Makan Indomie</t>
  </si>
  <si>
    <t>Gajian Emir - September</t>
  </si>
  <si>
    <t>Gajian Dustin - September</t>
  </si>
  <si>
    <t>Uang Duka Mang Edi</t>
  </si>
  <si>
    <t>Makan Makciak</t>
  </si>
  <si>
    <t>Tarik Cash Uang Parkir</t>
  </si>
  <si>
    <t>Pompa Bensin Motor Mas Imam</t>
  </si>
  <si>
    <t>Touring Om Doddy Cari Proyek</t>
  </si>
  <si>
    <t>Beli Autocad</t>
  </si>
  <si>
    <t>Ayam Geprek UPN</t>
  </si>
  <si>
    <t>Nasi Goreng</t>
  </si>
  <si>
    <t>Gajian Bumi - September</t>
  </si>
  <si>
    <t>Mesin Router</t>
  </si>
  <si>
    <t>Reimburse Makan</t>
  </si>
  <si>
    <t>Reimburse Kue, Makan Tukang Sukabumi</t>
  </si>
  <si>
    <t>Makan Om Edwin</t>
  </si>
  <si>
    <t>Final Project - Charity House</t>
  </si>
  <si>
    <t>Reimburse Transport Bumi</t>
  </si>
  <si>
    <t>Template Kontrak</t>
  </si>
  <si>
    <t>Pinjam Katalog Nunut</t>
  </si>
  <si>
    <t>Print Surat Mobil</t>
  </si>
  <si>
    <t>Jumlah</t>
  </si>
  <si>
    <t>Charity House - Bintaro</t>
  </si>
  <si>
    <t>Pembayaran Tahap I</t>
  </si>
  <si>
    <t>Material</t>
  </si>
  <si>
    <t>Kasbon Mang Rian</t>
  </si>
  <si>
    <t>Batu Kali</t>
  </si>
  <si>
    <t>Baja dan Pembesian</t>
  </si>
  <si>
    <t>Baja</t>
  </si>
  <si>
    <t>Gajian Mang Rian</t>
  </si>
  <si>
    <t>3HI Office - Kemayoran</t>
  </si>
  <si>
    <t>Kasbon Mas Rosidin</t>
  </si>
  <si>
    <t>Material Metal Stud</t>
  </si>
  <si>
    <t>Material Steger dan Paku</t>
  </si>
  <si>
    <t>Bongkaran Alumunium</t>
  </si>
  <si>
    <t>Material Gypsum</t>
  </si>
  <si>
    <t>Total Kasbon Mas Alan</t>
  </si>
  <si>
    <t>Gajian Mas Rosidin</t>
  </si>
  <si>
    <t>Sisa Kasbon Mas Alan</t>
  </si>
  <si>
    <t>Transport Tukang</t>
  </si>
  <si>
    <t>Material Alumunium</t>
  </si>
  <si>
    <t>Kasbon Mas Alan</t>
  </si>
  <si>
    <t>Material Kabel dan Tang</t>
  </si>
  <si>
    <t>FG House - Harapan Mulya</t>
  </si>
  <si>
    <t>Kasbon Mang Edi</t>
  </si>
  <si>
    <t>Materiap Atap uPVC</t>
  </si>
  <si>
    <t>Lalamove Atap</t>
  </si>
  <si>
    <t>Aquaproof</t>
  </si>
  <si>
    <t>Isi Token</t>
  </si>
  <si>
    <t>Gajian Mang Edi</t>
  </si>
  <si>
    <t>Shadowline</t>
  </si>
  <si>
    <t>Uang Satpam</t>
  </si>
  <si>
    <t>Keramik</t>
  </si>
  <si>
    <t>Lalamove Keramik</t>
  </si>
  <si>
    <t>Pakuan Hill House - Bogor</t>
  </si>
  <si>
    <t>Print RAB</t>
  </si>
  <si>
    <t>Pembayaran Termin I</t>
  </si>
  <si>
    <t>Bayar Kosan</t>
  </si>
  <si>
    <t>Belanja Material</t>
  </si>
  <si>
    <t>Pak Jayadih</t>
  </si>
  <si>
    <t>Mang Rian</t>
  </si>
  <si>
    <t>Belanja Baja</t>
  </si>
  <si>
    <t>DP Pembesian Jayadih</t>
  </si>
  <si>
    <t>Readymix K225</t>
  </si>
  <si>
    <t>Rokok dan Uang Satpam</t>
  </si>
  <si>
    <t>Uang Satpam, Kopi, dan Minum Makan Tukang</t>
  </si>
  <si>
    <t>Sewa Scaffolding Bogor</t>
  </si>
  <si>
    <t>Material Pembesian</t>
  </si>
  <si>
    <t>Tahap II Baja Pak Jayadih</t>
  </si>
  <si>
    <t>Pelunasan Baja Pak Jayadih</t>
  </si>
  <si>
    <t>Pipa Listrik</t>
  </si>
  <si>
    <t>Kasbon Mas Rudy</t>
  </si>
  <si>
    <t>Material Listrik</t>
  </si>
  <si>
    <t>Reng Atap Baja Ringan</t>
  </si>
  <si>
    <t>Kasbon Baja Pak Jayadih</t>
  </si>
  <si>
    <t>Box MCB</t>
  </si>
  <si>
    <t>Transport Mas Rudy</t>
  </si>
  <si>
    <t>Gajian Mas Rudy</t>
  </si>
  <si>
    <t>Pembayaran Termin II</t>
  </si>
  <si>
    <t>Atap Genteng</t>
  </si>
  <si>
    <t>Perpanjang Sewa Scaffolding</t>
  </si>
  <si>
    <t>Material Plafon</t>
  </si>
  <si>
    <t>Buang Puing</t>
  </si>
  <si>
    <t>DNN Office - Albert Anthonius</t>
  </si>
  <si>
    <t>Print Invoice</t>
  </si>
  <si>
    <t>Perintilan Pembongkaran</t>
  </si>
  <si>
    <t>Belanja Karung</t>
  </si>
  <si>
    <t>Total Kasbon Mas Imam</t>
  </si>
  <si>
    <t>Sisa Kasbon Mas Imam</t>
  </si>
  <si>
    <t>Parkir, Print Gambar dan Perintilan</t>
  </si>
  <si>
    <t>Belanja Baja Ringan</t>
  </si>
  <si>
    <t>Pindahan Barang Bongkaran</t>
  </si>
  <si>
    <t>Gypsum dan Baja Ringan</t>
  </si>
  <si>
    <t>Gajian Tukang Pindahan Bongkaran</t>
  </si>
  <si>
    <t>Bon Belanjaan</t>
  </si>
  <si>
    <t>Belanja Pasir</t>
  </si>
  <si>
    <t>Rockwool</t>
  </si>
  <si>
    <t>Keramik Resepsionis s.d Toilet</t>
  </si>
  <si>
    <t>SPC Klik</t>
  </si>
  <si>
    <t>Belanja Kabel</t>
  </si>
  <si>
    <t>DP Pekerjaan Kaca dan Alumunium</t>
  </si>
  <si>
    <t>Cat Dinding Dan Plafon</t>
  </si>
  <si>
    <t>Underlayer Foam SPC</t>
  </si>
  <si>
    <t>Wastafel Tanam Toto</t>
  </si>
  <si>
    <t>Plafon Akustik Gypsum</t>
  </si>
  <si>
    <t>Kloset dan Urinoir Toto</t>
  </si>
  <si>
    <t>Lalamove</t>
  </si>
  <si>
    <t>Material Perintilan</t>
  </si>
  <si>
    <t>Kabel dan Listrik</t>
  </si>
  <si>
    <t>Lalamove Kaca dari Bintaro</t>
  </si>
  <si>
    <t>Kasbon Mas Iwan</t>
  </si>
  <si>
    <t>Lalamove Cat</t>
  </si>
  <si>
    <t>Keramik Kamar Mandi</t>
  </si>
  <si>
    <t>Sealent</t>
  </si>
  <si>
    <t>Kaca dan Alumunium</t>
  </si>
  <si>
    <t>Belanjaan Bahan Interior</t>
  </si>
  <si>
    <t>Pembayaran Ketiga Alumunium</t>
  </si>
  <si>
    <t>Belanja Bahan Interior</t>
  </si>
  <si>
    <t>Belanja Perintilan</t>
  </si>
  <si>
    <t>Pelunasan Pintu Kaca</t>
  </si>
  <si>
    <t>Material Interior</t>
  </si>
  <si>
    <t>Kasbon Mas Imam</t>
  </si>
  <si>
    <t>Belanja Saklar dan Stop Kontak</t>
  </si>
  <si>
    <t>List Alumunium</t>
  </si>
  <si>
    <t>Belanjaan Interior</t>
  </si>
  <si>
    <t>Beli Lampu</t>
  </si>
  <si>
    <t>DP Pintu Wasman</t>
  </si>
  <si>
    <t>Bahan Interior</t>
  </si>
  <si>
    <t>Floor Drain dan Perintilan Plumbing</t>
  </si>
  <si>
    <t>Mohair Pintu</t>
  </si>
  <si>
    <t>Lalamove Lampu</t>
  </si>
  <si>
    <t>Cat Tekstur</t>
  </si>
  <si>
    <t>Belanja Gypsum</t>
  </si>
  <si>
    <t>Plint PVC</t>
  </si>
  <si>
    <t>Belanja LED Strip</t>
  </si>
  <si>
    <t>Belanja Cat Plafon</t>
  </si>
  <si>
    <t xml:space="preserve">Lalamove Plint </t>
  </si>
  <si>
    <t>DP Wasman</t>
  </si>
  <si>
    <t>Lalamove Interior</t>
  </si>
  <si>
    <t>Lalamove LED Strip</t>
  </si>
  <si>
    <t>Stop Kontak Lantai</t>
  </si>
  <si>
    <t>Cat Oplos</t>
  </si>
  <si>
    <t>Poles Lantai Kantor</t>
  </si>
  <si>
    <t>Belanja WPC</t>
  </si>
  <si>
    <t>Belanja Lampu, Exhaust, dll</t>
  </si>
  <si>
    <t>Reimburse Parkir Mas Imam</t>
  </si>
  <si>
    <t>Belanja List Alumunium</t>
  </si>
  <si>
    <t>Belanja Interior</t>
  </si>
  <si>
    <t>Gajian Listrik Mang Edi</t>
  </si>
  <si>
    <t>Belanja HPL</t>
  </si>
  <si>
    <t>Avur Wastafel</t>
  </si>
  <si>
    <t>Stop Kontak</t>
  </si>
  <si>
    <t>Cat Hitam</t>
  </si>
  <si>
    <t>Lem Kuning Taco</t>
  </si>
  <si>
    <t>Alat Hidrolik</t>
  </si>
  <si>
    <t>Belanja Kebutuhan Pintu</t>
  </si>
  <si>
    <t>Door Closer</t>
  </si>
  <si>
    <t>Belanja Lampu</t>
  </si>
  <si>
    <t>Reparasi Rolling Door</t>
  </si>
  <si>
    <t>Belanja Cat</t>
  </si>
  <si>
    <t>Cat Pelitur</t>
  </si>
  <si>
    <t>Bahan Backdrop dan PU Stone</t>
  </si>
  <si>
    <t>Pelunasan Penarikan Kabel CCTV</t>
  </si>
  <si>
    <t>Pelunasan Wasman</t>
  </si>
  <si>
    <t>Cat Oplos Interior</t>
  </si>
  <si>
    <t>Sink Pantry</t>
  </si>
  <si>
    <t>Perintilan Sink</t>
  </si>
  <si>
    <t>Pembayaran Termin III</t>
  </si>
  <si>
    <t>Stiker Logo</t>
  </si>
  <si>
    <t>Lampu Kantor</t>
  </si>
  <si>
    <t>Resin dan Cat</t>
  </si>
  <si>
    <t>Kupas Lantai</t>
  </si>
  <si>
    <t>Tips Mas Iwan</t>
  </si>
  <si>
    <t>Borongan Lantai Mang Rian</t>
  </si>
  <si>
    <t>Pembayaran Pelunasan Awal</t>
  </si>
  <si>
    <t>Gantungan Lampu</t>
  </si>
  <si>
    <t>Lampu LED Strip</t>
  </si>
  <si>
    <t>Backdrop Concrete Panel</t>
  </si>
  <si>
    <t>Lem Wallpanel</t>
  </si>
  <si>
    <t>Wallpanel Tambahan</t>
  </si>
  <si>
    <t>Lalamove GRC</t>
  </si>
  <si>
    <t>SPC Ganti</t>
  </si>
  <si>
    <t>Oplos Cat</t>
  </si>
  <si>
    <t>Print Kontrak dan Materai</t>
  </si>
  <si>
    <t>Pembayaran Termin I (Tahap I)</t>
  </si>
  <si>
    <t>Pembayaran Termin I (Tahap II)</t>
  </si>
  <si>
    <t>Pembayaran Termin I (Tahap III)</t>
  </si>
  <si>
    <t>Pembayaran Termin I (Tahap IV)</t>
  </si>
  <si>
    <t>Belanja Hebel dan Pasir Semen</t>
  </si>
  <si>
    <t>Borongan Mas Imam</t>
  </si>
  <si>
    <t>Pembayaran Termin I (Tahap V)</t>
  </si>
  <si>
    <t>Gali Bor Sumur</t>
  </si>
  <si>
    <t>Sisa Borongan Mas Imam</t>
  </si>
  <si>
    <t>Belanja Kolom Praktis</t>
  </si>
  <si>
    <t>Belanja Hebel dan Besi</t>
  </si>
  <si>
    <t>Belanja Ring Besi</t>
  </si>
  <si>
    <t>Borongan Mang Rian</t>
  </si>
  <si>
    <t>Belanja Hebel dan Mortar</t>
  </si>
  <si>
    <t>Belanja Bon Mang Rian</t>
  </si>
  <si>
    <t>Jendela Alumunium 60 x 120 (15 pcs)</t>
  </si>
  <si>
    <t>Belanja Pemipaan</t>
  </si>
  <si>
    <t>Pemipaan Pembuangan</t>
  </si>
  <si>
    <t>Beli Contoh Kloset</t>
  </si>
  <si>
    <t>Kasbon Listrik Mas Aris</t>
  </si>
  <si>
    <t>Pintu Wasman</t>
  </si>
  <si>
    <t>Atap Alderon uPVC</t>
  </si>
  <si>
    <t>Belanja Listrik dan AC</t>
  </si>
  <si>
    <t>Belanjaan Listrik</t>
  </si>
  <si>
    <t>Belanja Keramik</t>
  </si>
  <si>
    <t>Belanja Bahan Listrik</t>
  </si>
  <si>
    <t>Pembayaran Termin Kedua</t>
  </si>
  <si>
    <t>Belanjaan Plafon</t>
  </si>
  <si>
    <t>Beli Keramik</t>
  </si>
  <si>
    <t>Penambahan Keramik</t>
  </si>
  <si>
    <t>Spandek</t>
  </si>
  <si>
    <t>Ongkir Keramik</t>
  </si>
  <si>
    <t>Engsel dan Rumah Kunci</t>
  </si>
  <si>
    <t>Keramik Tambahan</t>
  </si>
  <si>
    <t>Material Pintu dan Jendela</t>
  </si>
  <si>
    <t>Kosan Tukang</t>
  </si>
  <si>
    <t>Pembayaran Pelunasan</t>
  </si>
  <si>
    <t>HPL Interior</t>
  </si>
  <si>
    <t>Kloset</t>
  </si>
  <si>
    <t>Engsel Interior</t>
  </si>
  <si>
    <t>Engsel</t>
  </si>
  <si>
    <t xml:space="preserve">Keramik Dinding Kamar Mandi </t>
  </si>
  <si>
    <t>DP Shower Screen</t>
  </si>
  <si>
    <t>Wastafel</t>
  </si>
  <si>
    <t>Material Wastafel</t>
  </si>
  <si>
    <t>Top Table Wastafel</t>
  </si>
  <si>
    <t>Pelunasan Shower Screen</t>
  </si>
  <si>
    <t>Cermin</t>
  </si>
  <si>
    <t>Frame Cermin</t>
  </si>
  <si>
    <t>Dapur Bebek Bu Enno - Bintaro</t>
  </si>
  <si>
    <t>Bayar Ormas</t>
  </si>
  <si>
    <t>Buang Sampah</t>
  </si>
  <si>
    <t>Upah Bongkar Kaca</t>
  </si>
  <si>
    <t>Kasbon Mas Aris Listrik</t>
  </si>
  <si>
    <t>Belanjaan Keramik</t>
  </si>
  <si>
    <t>Belanja Spandek dan Baja Ringan</t>
  </si>
  <si>
    <t>Bata Tempel</t>
  </si>
  <si>
    <t>DP Besi</t>
  </si>
  <si>
    <t>Belanjaan Saniter</t>
  </si>
  <si>
    <t>Pelunasan Besi Bintaro</t>
  </si>
  <si>
    <t>Pembayaran Tahap II</t>
  </si>
  <si>
    <t>Listrik Bintaro</t>
  </si>
  <si>
    <t>Pintu dan Lampu</t>
  </si>
  <si>
    <t>Cat Keramik</t>
  </si>
  <si>
    <t>Interior Bintaro</t>
  </si>
  <si>
    <t>Belanja HPL Bintaro</t>
  </si>
  <si>
    <t>Panel Box dan MCB</t>
  </si>
  <si>
    <t>Engsel Pivot</t>
  </si>
  <si>
    <t>Kabel 30 Meter</t>
  </si>
  <si>
    <t>HPL Pintu</t>
  </si>
  <si>
    <t>Stiker Pintu</t>
  </si>
  <si>
    <t>DP Rak Besi Slamet</t>
  </si>
  <si>
    <t>Kabel Listrik</t>
  </si>
  <si>
    <t>Kaca</t>
  </si>
  <si>
    <t>Rak Besi Pak Slamet</t>
  </si>
  <si>
    <t>Coating</t>
  </si>
  <si>
    <t>Nalangin Kipas</t>
  </si>
  <si>
    <t>Transport Mang Rian</t>
  </si>
  <si>
    <t>Fee Pemasangan Gas</t>
  </si>
  <si>
    <t>Exhaust</t>
  </si>
  <si>
    <t>Pelunasan Mas Imam</t>
  </si>
  <si>
    <t>Pelunasan Mas Aris</t>
  </si>
  <si>
    <t>Material Cat</t>
  </si>
  <si>
    <t>Material dan Transport</t>
  </si>
  <si>
    <t>Belanja Bahan</t>
  </si>
  <si>
    <t>Belanja List Gypsum</t>
  </si>
  <si>
    <t>DP Roster</t>
  </si>
  <si>
    <t>Pelunasan Roster</t>
  </si>
  <si>
    <t>Wood Decking</t>
  </si>
  <si>
    <t>Belanja Saklar dan Lampu</t>
  </si>
  <si>
    <t>Plafon PVC</t>
  </si>
  <si>
    <t>Cat Dinding</t>
  </si>
  <si>
    <t>Kantor Blok SR - Kemayoran</t>
  </si>
  <si>
    <t>Beli Bahan Cat</t>
  </si>
  <si>
    <t>Beli Siku Alumunium</t>
  </si>
  <si>
    <t>Lem dan Sealent</t>
  </si>
  <si>
    <t>Tambahan Siku Alumunium</t>
  </si>
  <si>
    <t>Perpanjang Kontrakan</t>
  </si>
  <si>
    <t>Belanja Material Interior</t>
  </si>
  <si>
    <t>DP Kanopi</t>
  </si>
  <si>
    <t>Triplek Pak Indra</t>
  </si>
  <si>
    <t>Belanja SPC</t>
  </si>
  <si>
    <t>Material Pemipaan</t>
  </si>
  <si>
    <t>Lalamove HPL</t>
  </si>
  <si>
    <t>Pembayaran Kedua Kanopi</t>
  </si>
  <si>
    <t>Belanjaan Material</t>
  </si>
  <si>
    <t>Thinner dan Lem Kuning</t>
  </si>
  <si>
    <t>HPL Tambahan</t>
  </si>
  <si>
    <t>Belanja Cat dan Stop Kontak</t>
  </si>
  <si>
    <t>Saklar Lampu Panasonic</t>
  </si>
  <si>
    <t>Bahan Perintilan</t>
  </si>
  <si>
    <t>Kabel 1 roll</t>
  </si>
  <si>
    <t>Pembayaran Ketiga Kanopi</t>
  </si>
  <si>
    <t>Beli Handle Lemari</t>
  </si>
  <si>
    <t>Pintu Alumunium Kaca</t>
  </si>
  <si>
    <t>Wall Mounted Lamp</t>
  </si>
  <si>
    <t>Keramik Top Table Dapur</t>
  </si>
  <si>
    <t>Belanja Perintilian</t>
  </si>
  <si>
    <t>PVC Sheet</t>
  </si>
  <si>
    <t>Akrilik Susu</t>
  </si>
  <si>
    <t>Pelunasan Mas Imam + Bonus</t>
  </si>
  <si>
    <t>Pelunasan Kanopi</t>
  </si>
  <si>
    <t>Kawat Nyamuk</t>
  </si>
  <si>
    <t>Tambahan Upah Kanopi</t>
  </si>
  <si>
    <t>Hollow dan Pilox</t>
  </si>
  <si>
    <t>Keramik Dapur</t>
  </si>
  <si>
    <t>Belanjaan Perintilan</t>
  </si>
  <si>
    <t>SJ House - Tria Andika</t>
  </si>
  <si>
    <t>Rumah Inap Pekerja</t>
  </si>
  <si>
    <t>Beli Lampu Kosan Tukang</t>
  </si>
  <si>
    <t>DP Gorden</t>
  </si>
  <si>
    <t>Tips Tukang AC Bobok</t>
  </si>
  <si>
    <t>Lalamove Barang Lama</t>
  </si>
  <si>
    <t>Belanja Bahan Bobokan AC</t>
  </si>
  <si>
    <t>Belanja Plafon</t>
  </si>
  <si>
    <t>Belanja Perintilan Cat</t>
  </si>
  <si>
    <t>Lalamove Mesin Gerinda</t>
  </si>
  <si>
    <t>Belanja Cat Oplos</t>
  </si>
  <si>
    <t>Beli Cat Plafon</t>
  </si>
  <si>
    <t>Pelunasan Tukang AC</t>
  </si>
  <si>
    <t>Belanja Kebutuhan Cat</t>
  </si>
  <si>
    <t>Belanja Saklar + Stop Kontak</t>
  </si>
  <si>
    <t>Stop Kontak 3 Lobang</t>
  </si>
  <si>
    <t>Pelunasan Gorden</t>
  </si>
  <si>
    <t>Belanja Triplek dan HPL</t>
  </si>
  <si>
    <t>Bonus Mang Edi</t>
  </si>
  <si>
    <t>Talangin Kipas Angin</t>
  </si>
  <si>
    <t>HPL Tambal</t>
  </si>
  <si>
    <t>Reparasi Pintu Kamuflase</t>
  </si>
  <si>
    <t>Tusir Backdrop</t>
  </si>
  <si>
    <t>Beli Alat Kompressor</t>
  </si>
  <si>
    <t>Talangin Grease Trap</t>
  </si>
  <si>
    <t>Buang Sampah + Tukang Ngikut</t>
  </si>
  <si>
    <t>TJ House - Pak Tommy</t>
  </si>
  <si>
    <t>Belanja Kebutuhan Multipleks</t>
  </si>
  <si>
    <t>Belanja Kebutuhan HPL</t>
  </si>
  <si>
    <t>Belanja Edging</t>
  </si>
  <si>
    <t>Token Listrik Bayem</t>
  </si>
  <si>
    <t>Belanja Rel Slide</t>
  </si>
  <si>
    <t>Belanja Pilok</t>
  </si>
  <si>
    <t>DP Cermin</t>
  </si>
  <si>
    <t>Beli Lem Kuning</t>
  </si>
  <si>
    <t>Lalamove Pengiriman Interior</t>
  </si>
  <si>
    <t>Plastik Cor</t>
  </si>
  <si>
    <t>Belanja Kabel 1 Roll</t>
  </si>
  <si>
    <t>Beli Saklar dan Stop Kontak</t>
  </si>
  <si>
    <t>Beli Stop Kontak dan T Arde</t>
  </si>
  <si>
    <t>Tips Tukang Kaca</t>
  </si>
  <si>
    <t>Belanja Kabel Antena dan Kabel LAN</t>
  </si>
  <si>
    <t>Gorengan Tukang</t>
  </si>
  <si>
    <t>Beli Push On</t>
  </si>
  <si>
    <t>Beli Socket LED Strip</t>
  </si>
  <si>
    <t>Upah Tukang Listrik</t>
  </si>
  <si>
    <t>Quadra Granite Tile</t>
  </si>
  <si>
    <t>Pelunasan Kaca</t>
  </si>
  <si>
    <t>Upah Mas Eko</t>
  </si>
  <si>
    <t>Beli Taco Sheet</t>
  </si>
  <si>
    <t>Pembayaran Tahap Pelunasan</t>
  </si>
  <si>
    <t>Belanja Bahan Awal</t>
  </si>
  <si>
    <t>Belanja HPL dan Perintilan</t>
  </si>
  <si>
    <t>Belanja Bahan Tambah</t>
  </si>
  <si>
    <t>Bensin dan Token Listrik</t>
  </si>
  <si>
    <t>Edging HPL</t>
  </si>
  <si>
    <t>Taco Sheet</t>
  </si>
  <si>
    <t>Pengiriman Interior Lalamove</t>
  </si>
  <si>
    <t>Saklar Lampu</t>
  </si>
  <si>
    <t>Granite Tile 3 Lembar</t>
  </si>
  <si>
    <t>Bahan Tambahan</t>
  </si>
  <si>
    <t>Ongkos Granite Tile</t>
  </si>
  <si>
    <t>Belanja Saklar dan Mata Bor</t>
  </si>
  <si>
    <t>Edging dan HPL</t>
  </si>
  <si>
    <t>Stok LED Strip</t>
  </si>
  <si>
    <t>Belanja Bahan Tambahan Lemari Pakaian</t>
  </si>
  <si>
    <t>Belanja HPL Tambahan</t>
  </si>
  <si>
    <t>Belanja Kebutuhan Bobok Pipa</t>
  </si>
  <si>
    <t>Drat Kuningan Air Panas</t>
  </si>
  <si>
    <t>Tambahan HPL</t>
  </si>
  <si>
    <t>List Alumunium Dapur</t>
  </si>
  <si>
    <t>Kasbon Mas Eko</t>
  </si>
  <si>
    <t>Belanja Perintilan Pipa Sink</t>
  </si>
  <si>
    <t>Belanja Penggantian HPL</t>
  </si>
  <si>
    <t>Belanja Mata Bor Granit</t>
  </si>
  <si>
    <t>Pelunasan Kaca dan Cermin</t>
  </si>
  <si>
    <t>Rak Susun Piring</t>
  </si>
  <si>
    <t>Pembayaran Tahap II + Pekerjaan Tambah</t>
  </si>
  <si>
    <t>Lemari Tangga TJ House</t>
  </si>
  <si>
    <t>Rak Sendok dan Garpu</t>
  </si>
  <si>
    <t>Makan dan Beli Handle</t>
  </si>
  <si>
    <t>Belanja Gantungan Baju</t>
  </si>
  <si>
    <t>Sealant Odol</t>
  </si>
  <si>
    <t>Pelunasan Interior Tahap I</t>
  </si>
  <si>
    <t>Pelunasan Borongan Mas Imam</t>
  </si>
  <si>
    <t>Belanja Perintilan Retensi</t>
  </si>
  <si>
    <t>SJ House - Mas Arya</t>
  </si>
  <si>
    <t>Pembayaran Tahap Deposit</t>
  </si>
  <si>
    <t>Print Gambar dan RAB</t>
  </si>
  <si>
    <t>Print RAB dan Kontrak</t>
  </si>
  <si>
    <t>DP Termin 1</t>
  </si>
  <si>
    <t>Print Gambar Mas Imam</t>
  </si>
  <si>
    <t>Beli Gembok</t>
  </si>
  <si>
    <t>Beli Terpal, dll</t>
  </si>
  <si>
    <t>Belanja Bahan Plafon</t>
  </si>
  <si>
    <t>Belanja Bahan Meja Kerja Mas Imam</t>
  </si>
  <si>
    <t>Belanja Triplek Tambahan</t>
  </si>
  <si>
    <t>Transport Mang Edi</t>
  </si>
  <si>
    <t>Transport Gojek Dustin</t>
  </si>
  <si>
    <t>Kontrakan Tukang</t>
  </si>
  <si>
    <t>Belanja Edging dan lain lain</t>
  </si>
  <si>
    <t>Belanja Lampu dan Kabel untuk Lembur</t>
  </si>
  <si>
    <t>Servis Mesin Gerinda</t>
  </si>
  <si>
    <t>Mata Gerinda Besi</t>
  </si>
  <si>
    <t>Bahan Cat Plafon dan Dinding</t>
  </si>
  <si>
    <t>Belanja Kabel dan Instalasi Listrik</t>
  </si>
  <si>
    <t>Belanja Bahan Perintilan Mang Edi</t>
  </si>
  <si>
    <t>WPC</t>
  </si>
  <si>
    <t>Top Table Granite Tile</t>
  </si>
  <si>
    <t>Transportasi Barang Mitra 10</t>
  </si>
  <si>
    <t>LED Strip Inlite</t>
  </si>
  <si>
    <t>Uang Kopi Satpam Jasmia</t>
  </si>
  <si>
    <t>Lalamove Barang</t>
  </si>
  <si>
    <t>Beli Perintilan Barang</t>
  </si>
  <si>
    <t>Belanja Tambahan</t>
  </si>
  <si>
    <t>Belanja Mata Bor</t>
  </si>
  <si>
    <t>Uang Rokok Tukang</t>
  </si>
  <si>
    <t>Reimburse Transport Emir (Cari Bahan)</t>
  </si>
  <si>
    <t>Belanja Material Triplek</t>
  </si>
  <si>
    <t>Transport Mas Imam</t>
  </si>
  <si>
    <t xml:space="preserve">Gojek Gerinda </t>
  </si>
  <si>
    <t>Belanja Bahan Perintilan</t>
  </si>
  <si>
    <t>Bonus dan THR Mas Imam</t>
  </si>
  <si>
    <t>Bonus dan THR Mang Edi</t>
  </si>
  <si>
    <t>Transport Grab Mas Imam dan Tukang</t>
  </si>
  <si>
    <t>Belanja List PVC 4cm</t>
  </si>
  <si>
    <t>Belanja List PVC 2cm</t>
  </si>
  <si>
    <t>Belanja Bahan Tambahan</t>
  </si>
  <si>
    <t>Reimburse Transport Dustin (Kucing)</t>
  </si>
  <si>
    <t>Saklar Schneider</t>
  </si>
  <si>
    <t>Belanja Listrik dan Perintilan</t>
  </si>
  <si>
    <t>List Gypsum Plafon</t>
  </si>
  <si>
    <t>Pembayaran Pekerjaan Tambah</t>
  </si>
  <si>
    <t>Belanja Pipa Listrik dan Perintilan</t>
  </si>
  <si>
    <t>DP Pintu Kaca dan Cermin</t>
  </si>
  <si>
    <t>Belanja Tambahan Lampu</t>
  </si>
  <si>
    <t>Belanja Granite Tile Kitchen</t>
  </si>
  <si>
    <t>Embow Dus dan Kabel</t>
  </si>
  <si>
    <t>Reimburse Transport Emir (Anter dan Cari Bahan)</t>
  </si>
  <si>
    <t>Belanja Kabel Lan dan Kabel Antena</t>
  </si>
  <si>
    <t>Pelunasan Pintu Kaca Alumunium</t>
  </si>
  <si>
    <t>Reimburse Transport Dustin (Ops dan Sofa)</t>
  </si>
  <si>
    <t>Grab, Makan, Rokok Mas Imam</t>
  </si>
  <si>
    <t>DP Kaca Film Kanopi</t>
  </si>
  <si>
    <t>Pemipaan dan Listrik Dapur</t>
  </si>
  <si>
    <t>DP Sofa Custom</t>
  </si>
  <si>
    <t>Keramik Musholla</t>
  </si>
  <si>
    <t>Angkut Sampah</t>
  </si>
  <si>
    <t>Pelunasan Custom Sofa</t>
  </si>
  <si>
    <t>Belanja Bahan Musholla</t>
  </si>
  <si>
    <t>Kebutuhan Tambahan Dapur</t>
  </si>
  <si>
    <t>Pelunasan Kaca Film dan Pintu Kaca Kitchen</t>
  </si>
  <si>
    <t>Belanja Tambahan Rak Musholla</t>
  </si>
  <si>
    <t>Print Gambar Lantai 2</t>
  </si>
  <si>
    <t>DP Tahap 2 Lantai 1</t>
  </si>
  <si>
    <t>WPC Tambahan</t>
  </si>
  <si>
    <t>Stop Kontak dan Kabel</t>
  </si>
  <si>
    <t>Push On</t>
  </si>
  <si>
    <t>Mata Bor</t>
  </si>
  <si>
    <t>Lem Tetes dan Lakban</t>
  </si>
  <si>
    <t>Wall Moulding PVC</t>
  </si>
  <si>
    <t>DP Mihrab</t>
  </si>
  <si>
    <t>Tulisan Allah Musholla</t>
  </si>
  <si>
    <t>Tambahan List WPC</t>
  </si>
  <si>
    <t>Belanja Bahan Pintu Kamuflase</t>
  </si>
  <si>
    <t>Pelunasan Mihrab</t>
  </si>
  <si>
    <t>Lalamove Mihrab</t>
  </si>
  <si>
    <t>Pelunasan Mas Eko</t>
  </si>
  <si>
    <t>Kasbon Sofa</t>
  </si>
  <si>
    <t>Kabel 2x1.5 1 Roll</t>
  </si>
  <si>
    <t>Belanja Bahan Pintu dan Kamar</t>
  </si>
  <si>
    <t>Pintu Kamuflase</t>
  </si>
  <si>
    <t>Kap Lampu</t>
  </si>
  <si>
    <t>Kebutuhan Plafon Kamar</t>
  </si>
  <si>
    <t>List Gypsum Sambungan</t>
  </si>
  <si>
    <t>Lampu, Kap, dan Saklar</t>
  </si>
  <si>
    <t>Bensin Mang Edi</t>
  </si>
  <si>
    <t>Rak Piring</t>
  </si>
  <si>
    <t>Belanja Perintilan SJ House</t>
  </si>
  <si>
    <t>Pelunasan Sofa</t>
  </si>
  <si>
    <t>Oplos Cat Duco</t>
  </si>
  <si>
    <t xml:space="preserve">Pelunasan WPC </t>
  </si>
  <si>
    <t>Cat dan Lampu Musholla</t>
  </si>
  <si>
    <t>Belanja List Gypsum Musholla</t>
  </si>
  <si>
    <t>Beli Bahan Bersih Bersih</t>
  </si>
  <si>
    <t>Sewa Alat Duco</t>
  </si>
  <si>
    <t>Uang Makan Tukang Libur</t>
  </si>
  <si>
    <t>Lalamove Barang ke Permata</t>
  </si>
  <si>
    <t>Pelunasan Tahap Serah Terima</t>
  </si>
  <si>
    <t>YP House (Design) - Mas Yerry</t>
  </si>
  <si>
    <t>Pembayaran Tahap I Revisi</t>
  </si>
  <si>
    <t>Print Gambar Warisman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</si>
</sst>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Rp-3809]* #,##0.00_-;\-[$Rp-3809]* #,##0.00_-;_-[$Rp-3809]* &quot;-&quot;??_-;_-@_-"/>
    <numFmt numFmtId="165" formatCode="_([$Rp-3809]* #,##0.00_);_([$Rp-3809]* \(#,##0.00\);_([$Rp-3809]* &quot;-&quot;_);_(@_)"/>
    <numFmt numFmtId="166" formatCode="_([$Rp-3809]* #,##0.00_);_([$Rp-3809]* \(#,##0.00\);_([$Rp-3809]* &quot;-&quot;??_);_(@_)"/>
  </numFmts>
  <fonts count="10">
    <font>
      <sz val="11"/>
      <color theme="1"/>
      <name val="Aptos Narrow"/>
      <family val="2"/>
      <scheme val="minor"/>
    </font>
    <font>
      <b/>
      <sz val="18"/>
      <color theme="1"/>
      <name val="Arial Narrow"/>
    </font>
    <font>
      <sz val="11"/>
      <color theme="1"/>
      <name val="Arial Narrow"/>
    </font>
    <font>
      <b/>
      <sz val="16"/>
      <color theme="1"/>
      <name val="Arial Narrow"/>
    </font>
    <font>
      <b/>
      <sz val="14"/>
      <color theme="1"/>
      <name val="Arial Narrow"/>
    </font>
    <font>
      <b/>
      <sz val="12"/>
      <color theme="1"/>
      <name val="Arial Narrow"/>
    </font>
    <font>
      <b/>
      <sz val="11"/>
      <color theme="1"/>
      <name val="Arial Narrow"/>
    </font>
    <font>
      <sz val="11"/>
      <color rgb="FF000000"/>
      <name val="Arial Narrow"/>
    </font>
    <font>
      <b/>
      <sz val="11"/>
      <color theme="1"/>
      <name val="Aptos Narrow"/>
      <family val="2"/>
      <scheme val="minor"/>
    </font>
    <font>
      <sz val="11"/>
      <color theme="1"/>
      <name val="Arial Narrow"/>
      <family val="18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BEDD2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7184AD"/>
        <bgColor indexed="64"/>
      </patternFill>
    </fill>
    <fill>
      <patternFill patternType="solid">
        <fgColor rgb="FFFFFFA6"/>
        <bgColor indexed="64"/>
      </patternFill>
    </fill>
    <fill>
      <patternFill patternType="solid">
        <fgColor rgb="FFF5E4B0"/>
        <bgColor indexed="64"/>
      </patternFill>
    </fill>
    <fill>
      <patternFill patternType="solid">
        <fgColor rgb="FFF582C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505050"/>
      </bottom>
      <diagonal/>
    </border>
    <border>
      <left/>
      <right/>
      <top style="double">
        <color rgb="FF000000"/>
      </top>
      <bottom style="double">
        <color rgb="FF50505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505050"/>
      </bottom>
      <diagonal/>
    </border>
    <border>
      <left/>
      <right style="thin">
        <color rgb="FF505050"/>
      </right>
      <top style="double">
        <color rgb="FF000000"/>
      </top>
      <bottom style="double">
        <color rgb="FF505050"/>
      </bottom>
      <diagonal/>
    </border>
    <border>
      <left style="thin">
        <color rgb="FF000000"/>
      </left>
      <right style="double">
        <color rgb="FF000000"/>
      </right>
      <top style="double">
        <color rgb="FF50505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505050"/>
      </left>
      <right/>
      <top style="double">
        <color rgb="FF000000"/>
      </top>
      <bottom style="double">
        <color rgb="FF000000"/>
      </bottom>
      <diagonal/>
    </border>
    <border>
      <left style="thin">
        <color rgb="FF505050"/>
      </left>
      <right/>
      <top style="double">
        <color rgb="FF000000"/>
      </top>
      <bottom style="double">
        <color rgb="FF50505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double">
        <color rgb="FF505050"/>
      </left>
      <right style="thin">
        <color rgb="FF505050"/>
      </right>
      <top/>
      <bottom/>
      <diagonal/>
    </border>
    <border>
      <left style="double">
        <color rgb="FF505050"/>
      </left>
      <right/>
      <top/>
      <bottom style="double">
        <color rgb="FF505050"/>
      </bottom>
      <diagonal/>
    </border>
    <border>
      <left style="thin">
        <color rgb="FF50505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505050"/>
      </right>
      <top style="double">
        <color rgb="FF000000"/>
      </top>
      <bottom/>
      <diagonal/>
    </border>
    <border>
      <left style="double">
        <color rgb="FF000000"/>
      </left>
      <right style="double">
        <color rgb="FF505050"/>
      </right>
      <top/>
      <bottom/>
      <diagonal/>
    </border>
    <border>
      <left style="double">
        <color rgb="FF000000"/>
      </left>
      <right style="double">
        <color rgb="FF50505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50505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11" xfId="0" applyFont="1" applyBorder="1" applyAlignment="1">
      <alignment horizontal="left" vertical="center"/>
    </xf>
    <xf numFmtId="14" fontId="2" fillId="0" borderId="12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164" fontId="6" fillId="3" borderId="13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0" fillId="0" borderId="0" xfId="0" applyBorder="1"/>
    <xf numFmtId="164" fontId="2" fillId="0" borderId="8" xfId="0" applyNumberFormat="1" applyFont="1" applyBorder="1" applyAlignment="1">
      <alignment horizontal="center" vertical="center"/>
    </xf>
    <xf numFmtId="0" fontId="2" fillId="6" borderId="11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8" borderId="11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horizontal="left" vertical="center"/>
    </xf>
    <xf numFmtId="0" fontId="2" fillId="10" borderId="12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2" fillId="11" borderId="11" xfId="0" applyFont="1" applyFill="1" applyBorder="1" applyAlignment="1">
      <alignment horizontal="left" vertical="center"/>
    </xf>
    <xf numFmtId="0" fontId="2" fillId="12" borderId="11" xfId="0" applyFont="1" applyFill="1" applyBorder="1" applyAlignment="1">
      <alignment horizontal="left" vertical="center"/>
    </xf>
    <xf numFmtId="0" fontId="2" fillId="13" borderId="11" xfId="0" applyFont="1" applyFill="1" applyBorder="1" applyAlignment="1">
      <alignment horizontal="left" vertical="center"/>
    </xf>
    <xf numFmtId="0" fontId="2" fillId="14" borderId="11" xfId="0" applyFont="1" applyFill="1" applyBorder="1" applyAlignment="1">
      <alignment horizontal="left" vertical="center"/>
    </xf>
    <xf numFmtId="0" fontId="2" fillId="15" borderId="11" xfId="0" applyFont="1" applyFill="1" applyBorder="1" applyAlignment="1">
      <alignment horizontal="left" vertical="center"/>
    </xf>
    <xf numFmtId="0" fontId="2" fillId="15" borderId="27" xfId="0" applyFont="1" applyFill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2" fillId="13" borderId="12" xfId="0" applyFont="1" applyFill="1" applyBorder="1" applyAlignment="1">
      <alignment horizontal="left" vertical="center"/>
    </xf>
    <xf numFmtId="0" fontId="2" fillId="12" borderId="27" xfId="0" applyFont="1" applyFill="1" applyBorder="1" applyAlignment="1">
      <alignment horizontal="left" vertical="center"/>
    </xf>
    <xf numFmtId="0" fontId="2" fillId="11" borderId="27" xfId="0" applyFont="1" applyFill="1" applyBorder="1" applyAlignment="1">
      <alignment horizontal="left" vertical="center"/>
    </xf>
    <xf numFmtId="164" fontId="2" fillId="6" borderId="12" xfId="0" applyNumberFormat="1" applyFont="1" applyFill="1" applyBorder="1" applyAlignment="1">
      <alignment horizontal="center" vertical="center"/>
    </xf>
    <xf numFmtId="164" fontId="2" fillId="7" borderId="1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9" borderId="12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left" vertical="center" wrapText="1"/>
    </xf>
    <xf numFmtId="164" fontId="2" fillId="9" borderId="12" xfId="0" applyNumberFormat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left" vertical="center"/>
    </xf>
    <xf numFmtId="0" fontId="2" fillId="17" borderId="11" xfId="0" applyFont="1" applyFill="1" applyBorder="1" applyAlignment="1">
      <alignment horizontal="left" vertical="center"/>
    </xf>
    <xf numFmtId="0" fontId="2" fillId="17" borderId="12" xfId="0" applyFont="1" applyFill="1" applyBorder="1" applyAlignment="1">
      <alignment horizontal="left" vertical="center"/>
    </xf>
    <xf numFmtId="0" fontId="2" fillId="14" borderId="27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/>
    </xf>
    <xf numFmtId="164" fontId="8" fillId="5" borderId="8" xfId="0" applyNumberFormat="1" applyFont="1" applyFill="1" applyBorder="1" applyAlignment="1">
      <alignment horizontal="right" vertical="center"/>
    </xf>
    <xf numFmtId="0" fontId="8" fillId="3" borderId="9" xfId="0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43" fontId="0" fillId="0" borderId="0" xfId="0" applyNumberFormat="1"/>
    <xf numFmtId="0" fontId="2" fillId="16" borderId="28" xfId="0" applyFont="1" applyFill="1" applyBorder="1" applyAlignment="1">
      <alignment horizontal="left" vertical="center"/>
    </xf>
    <xf numFmtId="0" fontId="2" fillId="16" borderId="29" xfId="0" applyFont="1" applyFill="1" applyBorder="1" applyAlignment="1">
      <alignment horizontal="left" vertical="center"/>
    </xf>
    <xf numFmtId="164" fontId="2" fillId="0" borderId="31" xfId="0" applyNumberFormat="1" applyFont="1" applyBorder="1" applyAlignment="1">
      <alignment horizontal="center" vertical="center"/>
    </xf>
    <xf numFmtId="0" fontId="2" fillId="18" borderId="12" xfId="0" applyFont="1" applyFill="1" applyBorder="1" applyAlignment="1">
      <alignment horizontal="left" vertical="center"/>
    </xf>
    <xf numFmtId="0" fontId="9" fillId="18" borderId="30" xfId="0" applyFont="1" applyFill="1" applyBorder="1"/>
    <xf numFmtId="165" fontId="0" fillId="0" borderId="0" xfId="0" applyNumberFormat="1" applyAlignment="1">
      <alignment horizontal="right"/>
    </xf>
    <xf numFmtId="10" fontId="0" fillId="0" borderId="0" xfId="0" applyNumberFormat="1"/>
    <xf numFmtId="166" fontId="0" fillId="0" borderId="0" xfId="0" applyNumberFormat="1"/>
    <xf numFmtId="165" fontId="0" fillId="0" borderId="0" xfId="0" applyNumberFormat="1"/>
    <xf numFmtId="164" fontId="2" fillId="19" borderId="12" xfId="0" applyNumberFormat="1" applyFont="1" applyFill="1" applyBorder="1" applyAlignment="1">
      <alignment horizontal="center" vertical="center"/>
    </xf>
    <xf numFmtId="164" fontId="2" fillId="8" borderId="12" xfId="0" applyNumberFormat="1" applyFont="1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6" fillId="3" borderId="24" xfId="0" applyNumberFormat="1" applyFont="1" applyFill="1" applyBorder="1" applyAlignment="1">
      <alignment horizontal="center" vertical="center"/>
    </xf>
    <xf numFmtId="164" fontId="6" fillId="3" borderId="16" xfId="0" applyNumberFormat="1" applyFont="1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164" fontId="6" fillId="3" borderId="25" xfId="0" applyNumberFormat="1" applyFont="1" applyFill="1" applyBorder="1" applyAlignment="1">
      <alignment horizontal="center" vertical="center"/>
    </xf>
    <xf numFmtId="164" fontId="6" fillId="3" borderId="18" xfId="0" applyNumberFormat="1" applyFont="1" applyFill="1" applyBorder="1" applyAlignment="1">
      <alignment horizontal="center" vertical="center"/>
    </xf>
    <xf numFmtId="164" fontId="6" fillId="3" borderId="3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EABA-A7CB-BD45-9E1D-7829AFB791A0}">
  <dimension ref="B1:G135"/>
  <sheetViews>
    <sheetView topLeftCell="A38" workbookViewId="0">
      <selection activeCell="G54" sqref="G54"/>
    </sheetView>
  </sheetViews>
  <sheetFormatPr defaultRowHeight="15"/>
  <cols>
    <col min="1" max="1" width="6" customWidth="1"/>
    <col min="3" max="3" width="46.85546875" customWidth="1"/>
    <col min="4" max="6" width="19.85546875" customWidth="1"/>
    <col min="7" max="7" width="20.5703125" customWidth="1"/>
  </cols>
  <sheetData>
    <row r="1" spans="2:7" ht="15.75" thickBot="1"/>
    <row r="2" spans="2:7" ht="25.5" customHeight="1" thickTop="1">
      <c r="B2" s="85" t="s">
        <v>0</v>
      </c>
      <c r="C2" s="86"/>
      <c r="D2" s="86"/>
      <c r="E2" s="86"/>
      <c r="F2" s="87"/>
    </row>
    <row r="3" spans="2:7" ht="25.5" customHeight="1">
      <c r="B3" s="88" t="s">
        <v>1</v>
      </c>
      <c r="C3" s="89"/>
      <c r="D3" s="89"/>
      <c r="E3" s="89"/>
      <c r="F3" s="90"/>
    </row>
    <row r="4" spans="2:7" ht="25.5" customHeight="1">
      <c r="B4" s="91" t="s">
        <v>2</v>
      </c>
      <c r="C4" s="92"/>
      <c r="D4" s="92"/>
      <c r="E4" s="92"/>
      <c r="F4" s="93"/>
    </row>
    <row r="5" spans="2:7" ht="25.5" customHeight="1" thickBot="1">
      <c r="B5" s="94">
        <v>2026</v>
      </c>
      <c r="C5" s="95"/>
      <c r="D5" s="95"/>
      <c r="E5" s="95"/>
      <c r="F5" s="96"/>
    </row>
    <row r="6" spans="2:7" ht="24.75" customHeight="1" thickTop="1" thickBot="1">
      <c r="B6" s="6" t="s">
        <v>3</v>
      </c>
      <c r="C6" s="11" t="s">
        <v>4</v>
      </c>
      <c r="D6" s="7" t="s">
        <v>5</v>
      </c>
      <c r="E6" s="7" t="s">
        <v>6</v>
      </c>
      <c r="F6" s="8" t="s">
        <v>7</v>
      </c>
    </row>
    <row r="7" spans="2:7" ht="18.75" customHeight="1" thickTop="1" thickBot="1">
      <c r="B7" s="68" t="s">
        <v>8</v>
      </c>
      <c r="C7" s="69"/>
      <c r="D7" s="69"/>
      <c r="E7" s="69"/>
      <c r="F7" s="70"/>
    </row>
    <row r="8" spans="2:7" ht="19.5" customHeight="1" thickTop="1">
      <c r="B8" s="1">
        <v>1</v>
      </c>
      <c r="C8" s="3" t="s">
        <v>9</v>
      </c>
      <c r="D8" s="4">
        <f>'YP House - Yerry Primadi'!E11</f>
        <v>5800000</v>
      </c>
      <c r="E8" s="4"/>
      <c r="F8" s="76">
        <f>SUM(D8:D25)</f>
        <v>2275050682</v>
      </c>
    </row>
    <row r="9" spans="2:7" ht="19.5" customHeight="1">
      <c r="B9" s="1">
        <v>2</v>
      </c>
      <c r="C9" s="3" t="s">
        <v>10</v>
      </c>
      <c r="D9" s="4">
        <f>'SJ House - Tria Andika (LT1)'!E186</f>
        <v>273400000</v>
      </c>
      <c r="E9" s="4"/>
      <c r="F9" s="77"/>
    </row>
    <row r="10" spans="2:7" ht="19.5" customHeight="1">
      <c r="B10" s="1">
        <v>3</v>
      </c>
      <c r="C10" s="3" t="s">
        <v>11</v>
      </c>
      <c r="D10" s="4">
        <f>'TJ House - Tommy Saputra (LT1)'!E60</f>
        <v>75600000</v>
      </c>
      <c r="E10" s="4"/>
      <c r="F10" s="77"/>
    </row>
    <row r="11" spans="2:7" ht="19.5" customHeight="1">
      <c r="B11" s="1">
        <v>4</v>
      </c>
      <c r="C11" s="3" t="s">
        <v>12</v>
      </c>
      <c r="D11" s="4">
        <f>'TJ House - Tommy Saputra (LT2)'!E53</f>
        <v>66000000</v>
      </c>
      <c r="E11" s="4"/>
      <c r="F11" s="77"/>
    </row>
    <row r="12" spans="2:7" ht="19.5" customHeight="1">
      <c r="B12" s="1">
        <v>5</v>
      </c>
      <c r="C12" s="3" t="s">
        <v>13</v>
      </c>
      <c r="D12" s="4">
        <f>'RM Kost - Epi Suryadinata'!E126</f>
        <v>450000000</v>
      </c>
      <c r="E12" s="4"/>
      <c r="F12" s="77"/>
    </row>
    <row r="13" spans="2:7" ht="19.5" customHeight="1">
      <c r="B13" s="1">
        <v>6</v>
      </c>
      <c r="C13" s="3" t="s">
        <v>14</v>
      </c>
      <c r="D13" s="4">
        <f>'CR House - Erick'!E22</f>
        <v>15000000</v>
      </c>
      <c r="E13" s="4"/>
      <c r="F13" s="77"/>
      <c r="G13" s="48"/>
    </row>
    <row r="14" spans="2:7" ht="19.5" customHeight="1">
      <c r="B14" s="1">
        <v>7</v>
      </c>
      <c r="C14" s="3" t="s">
        <v>15</v>
      </c>
      <c r="D14" s="4">
        <f>'SJ House - Tria Andika (LT2)'!E54</f>
        <v>51000000</v>
      </c>
      <c r="E14" s="4"/>
      <c r="F14" s="77"/>
      <c r="G14" s="48"/>
    </row>
    <row r="15" spans="2:7" ht="19.5" customHeight="1">
      <c r="B15" s="1">
        <v>8</v>
      </c>
      <c r="C15" s="3" t="s">
        <v>16</v>
      </c>
      <c r="D15" s="4">
        <f>'DNN Office - Kemayoran'!E205</f>
        <v>420238182</v>
      </c>
      <c r="E15" s="4"/>
      <c r="F15" s="77"/>
    </row>
    <row r="16" spans="2:7" ht="19.5" customHeight="1">
      <c r="B16" s="1">
        <v>9</v>
      </c>
      <c r="C16" s="3" t="s">
        <v>17</v>
      </c>
      <c r="D16" s="4">
        <f>'TJ House - Tommy Saputra (T3)'!E67</f>
        <v>76000000</v>
      </c>
      <c r="E16" s="4"/>
      <c r="F16" s="77"/>
    </row>
    <row r="17" spans="2:7" ht="19.5" customHeight="1">
      <c r="B17" s="1">
        <v>10</v>
      </c>
      <c r="C17" s="3" t="s">
        <v>18</v>
      </c>
      <c r="D17" s="4">
        <f>'Kantor Blok SR - Kemayoran'!E14</f>
        <v>6337500</v>
      </c>
      <c r="E17" s="4"/>
      <c r="F17" s="77"/>
    </row>
    <row r="18" spans="2:7" ht="19.5" customHeight="1">
      <c r="B18" s="1">
        <v>11</v>
      </c>
      <c r="C18" s="3" t="s">
        <v>19</v>
      </c>
      <c r="D18" s="4">
        <f>'Dapur Bebek - Bintaro'!E85</f>
        <v>97675000</v>
      </c>
      <c r="E18" s="4"/>
      <c r="F18" s="77"/>
    </row>
    <row r="19" spans="2:7" ht="19.5" customHeight="1">
      <c r="B19" s="1">
        <v>12</v>
      </c>
      <c r="C19" s="3" t="s">
        <v>20</v>
      </c>
      <c r="D19" s="4">
        <f>'PH House - Bogor'!E87</f>
        <v>388500000</v>
      </c>
      <c r="E19" s="4"/>
      <c r="F19" s="77"/>
    </row>
    <row r="20" spans="2:7" ht="19.5" customHeight="1">
      <c r="B20" s="1">
        <v>13</v>
      </c>
      <c r="C20" s="3" t="s">
        <v>21</v>
      </c>
      <c r="D20" s="4">
        <f>'SJ House - Tria Andika (LT 3)'!E44</f>
        <v>47000000</v>
      </c>
      <c r="E20" s="4"/>
      <c r="F20" s="77"/>
    </row>
    <row r="21" spans="2:7" ht="19.5" customHeight="1">
      <c r="B21" s="1">
        <v>14</v>
      </c>
      <c r="C21" s="3" t="s">
        <v>22</v>
      </c>
      <c r="D21" s="4">
        <f>'SJ House - Tria Andika (KM)'!E46</f>
        <v>58000000</v>
      </c>
      <c r="E21" s="4"/>
      <c r="F21" s="77"/>
    </row>
    <row r="22" spans="2:7" ht="19.5" customHeight="1">
      <c r="B22" s="1">
        <v>15</v>
      </c>
      <c r="C22" s="3" t="s">
        <v>23</v>
      </c>
      <c r="D22" s="4">
        <f>'FG House - Harapan Mulya'!E43</f>
        <v>35000000</v>
      </c>
      <c r="E22" s="4"/>
      <c r="F22" s="77"/>
    </row>
    <row r="23" spans="2:7" ht="19.5" customHeight="1">
      <c r="B23" s="1">
        <v>16</v>
      </c>
      <c r="C23" s="3" t="s">
        <v>24</v>
      </c>
      <c r="D23" s="4">
        <f>'3HI Office - Kemayoran'!E43</f>
        <v>109500000</v>
      </c>
      <c r="E23" s="4"/>
      <c r="F23" s="77"/>
    </row>
    <row r="24" spans="2:7" ht="19.5" customHeight="1">
      <c r="B24" s="1">
        <v>17</v>
      </c>
      <c r="C24" s="3" t="s">
        <v>25</v>
      </c>
      <c r="D24" s="4">
        <f>'Charity House - Bintaro'!E43</f>
        <v>100000000</v>
      </c>
      <c r="E24" s="4"/>
      <c r="F24" s="77"/>
    </row>
    <row r="25" spans="2:7" ht="18.75" customHeight="1" thickBot="1">
      <c r="B25" s="1"/>
      <c r="C25" s="3"/>
      <c r="D25" s="4"/>
      <c r="E25" s="4"/>
      <c r="F25" s="78"/>
    </row>
    <row r="26" spans="2:7" ht="18.75" customHeight="1" thickTop="1" thickBot="1">
      <c r="B26" s="71" t="s">
        <v>26</v>
      </c>
      <c r="C26" s="72"/>
      <c r="D26" s="72"/>
      <c r="E26" s="72"/>
      <c r="F26" s="73"/>
    </row>
    <row r="27" spans="2:7" ht="18.75" customHeight="1" thickTop="1">
      <c r="B27" s="1">
        <v>1</v>
      </c>
      <c r="C27" s="3" t="s">
        <v>27</v>
      </c>
      <c r="D27" s="4"/>
      <c r="E27" s="4">
        <f>SUM(D58:D74)</f>
        <v>878710658</v>
      </c>
      <c r="F27" s="76">
        <f>SUM(E27:E30)</f>
        <v>1595474478</v>
      </c>
      <c r="G27" s="57"/>
    </row>
    <row r="28" spans="2:7" ht="18.75" customHeight="1">
      <c r="B28" s="1">
        <v>2</v>
      </c>
      <c r="C28" s="3" t="s">
        <v>28</v>
      </c>
      <c r="D28" s="4"/>
      <c r="E28" s="4">
        <f>SUM(D78:D94)</f>
        <v>690743420</v>
      </c>
      <c r="F28" s="77"/>
      <c r="G28" s="57"/>
    </row>
    <row r="29" spans="2:7" ht="18.75" customHeight="1">
      <c r="B29" s="1">
        <v>3</v>
      </c>
      <c r="C29" s="3" t="s">
        <v>29</v>
      </c>
      <c r="D29" s="4"/>
      <c r="E29" s="4">
        <f>SUM(D98:D114)</f>
        <v>3796000</v>
      </c>
      <c r="F29" s="77"/>
      <c r="G29" s="57"/>
    </row>
    <row r="30" spans="2:7" ht="18.75" customHeight="1" thickBot="1">
      <c r="B30" s="1">
        <v>4</v>
      </c>
      <c r="C30" s="3" t="s">
        <v>30</v>
      </c>
      <c r="D30" s="4"/>
      <c r="E30" s="4">
        <f>SUM(D118:D134)</f>
        <v>22224400</v>
      </c>
      <c r="F30" s="78"/>
      <c r="G30" s="57"/>
    </row>
    <row r="31" spans="2:7" ht="18.75" customHeight="1" thickTop="1" thickBot="1">
      <c r="B31" s="74" t="s">
        <v>31</v>
      </c>
      <c r="C31" s="75"/>
      <c r="D31" s="79">
        <f>F8-F27</f>
        <v>679576204</v>
      </c>
      <c r="E31" s="80"/>
      <c r="F31" s="81"/>
    </row>
    <row r="32" spans="2:7" ht="18.75" customHeight="1">
      <c r="B32" s="71" t="s">
        <v>32</v>
      </c>
      <c r="C32" s="72"/>
      <c r="D32" s="72"/>
      <c r="E32" s="72"/>
      <c r="F32" s="73"/>
    </row>
    <row r="33" spans="2:6" ht="18.75" customHeight="1">
      <c r="B33" s="1">
        <v>1</v>
      </c>
      <c r="C33" s="3" t="s">
        <v>33</v>
      </c>
      <c r="D33" s="4"/>
      <c r="E33" s="4">
        <f>'Lapkeu Perusahaan'!J7</f>
        <v>119500000</v>
      </c>
      <c r="F33" s="76">
        <f>SUM(E33:E39)</f>
        <v>233655449.28999999</v>
      </c>
    </row>
    <row r="34" spans="2:6" ht="18.75" customHeight="1">
      <c r="B34" s="1">
        <v>2</v>
      </c>
      <c r="C34" s="3" t="s">
        <v>34</v>
      </c>
      <c r="D34" s="4"/>
      <c r="E34" s="4">
        <f>'Lapkeu Perusahaan'!J8</f>
        <v>23596236</v>
      </c>
      <c r="F34" s="77"/>
    </row>
    <row r="35" spans="2:6" ht="18.75" customHeight="1">
      <c r="B35" s="1">
        <v>3</v>
      </c>
      <c r="C35" s="3" t="s">
        <v>35</v>
      </c>
      <c r="D35" s="4"/>
      <c r="E35" s="4">
        <f>'Lapkeu Perusahaan'!J9</f>
        <v>30134858</v>
      </c>
      <c r="F35" s="77"/>
    </row>
    <row r="36" spans="2:6" ht="18.75" customHeight="1">
      <c r="B36" s="1">
        <v>4</v>
      </c>
      <c r="C36" s="3" t="s">
        <v>36</v>
      </c>
      <c r="D36" s="4"/>
      <c r="E36" s="4">
        <f>'Lapkeu Perusahaan'!J10</f>
        <v>4129979</v>
      </c>
      <c r="F36" s="77"/>
    </row>
    <row r="37" spans="2:6" ht="18.75" customHeight="1">
      <c r="B37" s="1">
        <v>5</v>
      </c>
      <c r="C37" s="3" t="s">
        <v>37</v>
      </c>
      <c r="D37" s="4"/>
      <c r="E37" s="4">
        <f>'Lapkeu Perusahaan'!J11</f>
        <v>34329899</v>
      </c>
      <c r="F37" s="77"/>
    </row>
    <row r="38" spans="2:6" ht="18.75" customHeight="1">
      <c r="B38" s="1">
        <v>6</v>
      </c>
      <c r="C38" s="3" t="s">
        <v>38</v>
      </c>
      <c r="D38" s="4"/>
      <c r="E38" s="4">
        <f>'Lapkeu Perusahaan'!J17</f>
        <v>21895000</v>
      </c>
      <c r="F38" s="77"/>
    </row>
    <row r="39" spans="2:6" ht="18.75" customHeight="1">
      <c r="B39" s="1">
        <v>7</v>
      </c>
      <c r="C39" s="3" t="s">
        <v>39</v>
      </c>
      <c r="D39" s="4"/>
      <c r="E39" s="4">
        <f>'Lapkeu Perusahaan'!J12</f>
        <v>69477.289999999979</v>
      </c>
      <c r="F39" s="78"/>
    </row>
    <row r="40" spans="2:6" ht="18.75" customHeight="1">
      <c r="B40" s="74" t="s">
        <v>40</v>
      </c>
      <c r="C40" s="75"/>
      <c r="D40" s="82">
        <f>D31-F33</f>
        <v>445920754.71000004</v>
      </c>
      <c r="E40" s="83"/>
      <c r="F40" s="84"/>
    </row>
    <row r="41" spans="2:6" ht="18.75" customHeight="1">
      <c r="B41" s="71" t="s">
        <v>41</v>
      </c>
      <c r="C41" s="72"/>
      <c r="D41" s="72"/>
      <c r="E41" s="72"/>
      <c r="F41" s="73"/>
    </row>
    <row r="42" spans="2:6" ht="18.75" customHeight="1" thickTop="1">
      <c r="B42" s="1">
        <v>1</v>
      </c>
      <c r="C42" s="3" t="s">
        <v>42</v>
      </c>
      <c r="D42" s="4"/>
      <c r="E42" s="4">
        <f>'Lapkeu Perusahaan'!J13</f>
        <v>33827440</v>
      </c>
      <c r="F42" s="76">
        <f>SUM(E42:E45)</f>
        <v>51714617</v>
      </c>
    </row>
    <row r="43" spans="2:6" ht="18.75" customHeight="1">
      <c r="B43" s="1">
        <v>2</v>
      </c>
      <c r="C43" s="3" t="s">
        <v>43</v>
      </c>
      <c r="D43" s="4"/>
      <c r="E43" s="4">
        <f>'Lapkeu Perusahaan'!J14</f>
        <v>7810000</v>
      </c>
      <c r="F43" s="77"/>
    </row>
    <row r="44" spans="2:6" ht="18.75" customHeight="1">
      <c r="B44" s="1">
        <v>3</v>
      </c>
      <c r="C44" s="3" t="s">
        <v>44</v>
      </c>
      <c r="D44" s="4"/>
      <c r="E44" s="4">
        <f>'Lapkeu Perusahaan'!J15</f>
        <v>7678176</v>
      </c>
      <c r="F44" s="77"/>
    </row>
    <row r="45" spans="2:6" ht="18.75" customHeight="1">
      <c r="B45" s="1">
        <v>4</v>
      </c>
      <c r="C45" s="3" t="s">
        <v>45</v>
      </c>
      <c r="D45" s="4"/>
      <c r="E45" s="4">
        <f>'Lapkeu Perusahaan'!J16</f>
        <v>2399001</v>
      </c>
      <c r="F45" s="77"/>
    </row>
    <row r="46" spans="2:6" ht="18.75" customHeight="1">
      <c r="B46" s="66" t="s">
        <v>46</v>
      </c>
      <c r="C46" s="67"/>
      <c r="D46" s="9">
        <f>F8+D39</f>
        <v>2275050682</v>
      </c>
      <c r="E46" s="9">
        <f>F27+F33+F42</f>
        <v>1880844544.29</v>
      </c>
      <c r="F46" s="60">
        <f>D46-E46</f>
        <v>394206137.71000004</v>
      </c>
    </row>
    <row r="47" spans="2:6" ht="20.25" customHeight="1">
      <c r="E47" s="46" t="s">
        <v>47</v>
      </c>
      <c r="F47" s="45">
        <f>'Lapkeu Perusahaan'!E7</f>
        <v>12500179.890000001</v>
      </c>
    </row>
    <row r="48" spans="2:6" ht="20.25" customHeight="1">
      <c r="E48" s="46" t="s">
        <v>48</v>
      </c>
      <c r="F48" s="45">
        <f>F46+F47</f>
        <v>406706317.60000002</v>
      </c>
    </row>
    <row r="50" spans="2:6">
      <c r="E50" t="s">
        <v>49</v>
      </c>
      <c r="F50" s="47">
        <f>'Lapkeu Perusahaan'!G475</f>
        <v>73500000</v>
      </c>
    </row>
    <row r="51" spans="2:6">
      <c r="E51" t="s">
        <v>50</v>
      </c>
      <c r="F51" s="47">
        <f>'Lapkeu Perusahaan'!G476</f>
        <v>113111100</v>
      </c>
    </row>
    <row r="52" spans="2:6">
      <c r="E52" t="s">
        <v>51</v>
      </c>
      <c r="F52" s="47">
        <f>'Lapkeu Perusahaan'!G477</f>
        <v>188383595</v>
      </c>
    </row>
    <row r="53" spans="2:6">
      <c r="F53" s="47"/>
    </row>
    <row r="54" spans="2:6">
      <c r="F54" s="47">
        <f>F48-SUM(F50:F52)</f>
        <v>31711622.600000024</v>
      </c>
    </row>
    <row r="55" spans="2:6">
      <c r="F55" s="48">
        <f>F54-'Lapkeu Perusahaan'!G479</f>
        <v>33659289.999999881</v>
      </c>
    </row>
    <row r="57" spans="2:6" ht="16.5">
      <c r="B57" s="63" t="s">
        <v>52</v>
      </c>
      <c r="C57" s="64"/>
      <c r="D57" s="65"/>
    </row>
    <row r="58" spans="2:6" ht="16.5">
      <c r="B58" s="1">
        <v>1</v>
      </c>
      <c r="C58" s="3" t="s">
        <v>9</v>
      </c>
      <c r="D58" s="5">
        <f>'YP House - Yerry Primadi'!J7</f>
        <v>163000</v>
      </c>
    </row>
    <row r="59" spans="2:6" ht="16.5">
      <c r="B59" s="1">
        <v>2</v>
      </c>
      <c r="C59" s="3" t="s">
        <v>10</v>
      </c>
      <c r="D59" s="5">
        <f>'SJ House - Tria Andika (LT1)'!J7</f>
        <v>104219718</v>
      </c>
    </row>
    <row r="60" spans="2:6" ht="16.5">
      <c r="B60" s="1">
        <v>3</v>
      </c>
      <c r="C60" s="3" t="s">
        <v>11</v>
      </c>
      <c r="D60" s="5">
        <f>'TJ House - Tommy Saputra (LT1)'!J7</f>
        <v>38502983</v>
      </c>
    </row>
    <row r="61" spans="2:6" ht="16.5">
      <c r="B61" s="1">
        <v>4</v>
      </c>
      <c r="C61" s="3" t="s">
        <v>12</v>
      </c>
      <c r="D61" s="5">
        <f>'TJ House - Tommy Saputra (LT2)'!J7</f>
        <v>25117904</v>
      </c>
    </row>
    <row r="62" spans="2:6" ht="16.5">
      <c r="B62" s="1">
        <v>5</v>
      </c>
      <c r="C62" s="3" t="s">
        <v>13</v>
      </c>
      <c r="D62" s="5">
        <f>'RM Kost - Epi Suryadinata'!J7</f>
        <v>171426833</v>
      </c>
    </row>
    <row r="63" spans="2:6" ht="16.5">
      <c r="B63" s="1">
        <v>6</v>
      </c>
      <c r="C63" s="3" t="s">
        <v>14</v>
      </c>
      <c r="D63" s="5">
        <f>'CR House - Erick'!J7</f>
        <v>3937635</v>
      </c>
    </row>
    <row r="64" spans="2:6" ht="16.5">
      <c r="B64" s="1">
        <v>7</v>
      </c>
      <c r="C64" s="3" t="s">
        <v>15</v>
      </c>
      <c r="D64" s="5">
        <f>'SJ House - Tria Andika (LT2)'!J7</f>
        <v>17453043</v>
      </c>
    </row>
    <row r="65" spans="2:4" ht="16.5">
      <c r="B65" s="1">
        <v>8</v>
      </c>
      <c r="C65" s="3" t="s">
        <v>16</v>
      </c>
      <c r="D65" s="5">
        <f>'DNN Office - Kemayoran'!J7</f>
        <v>195624426</v>
      </c>
    </row>
    <row r="66" spans="2:4" ht="16.5">
      <c r="B66" s="1">
        <v>9</v>
      </c>
      <c r="C66" s="3" t="s">
        <v>17</v>
      </c>
      <c r="D66" s="5">
        <f>'TJ House - Tommy Saputra (T3)'!J7</f>
        <v>31804249</v>
      </c>
    </row>
    <row r="67" spans="2:4" ht="16.5">
      <c r="B67" s="1">
        <v>10</v>
      </c>
      <c r="C67" s="3" t="s">
        <v>18</v>
      </c>
      <c r="D67" s="5">
        <f>'Kantor Blok SR - Kemayoran'!J7</f>
        <v>2232245</v>
      </c>
    </row>
    <row r="68" spans="2:4" ht="16.5">
      <c r="B68" s="1">
        <v>11</v>
      </c>
      <c r="C68" s="3" t="s">
        <v>19</v>
      </c>
      <c r="D68" s="5">
        <f>'Dapur Bebek - Bintaro'!J7</f>
        <v>54589797</v>
      </c>
    </row>
    <row r="69" spans="2:4" ht="16.5">
      <c r="B69" s="1">
        <v>12</v>
      </c>
      <c r="C69" s="3" t="s">
        <v>20</v>
      </c>
      <c r="D69" s="5">
        <f>'PH House - Bogor'!J7</f>
        <v>123084475</v>
      </c>
    </row>
    <row r="70" spans="2:4" ht="16.5">
      <c r="B70" s="1">
        <v>13</v>
      </c>
      <c r="C70" s="3" t="s">
        <v>21</v>
      </c>
      <c r="D70" s="5">
        <f>'SJ House - Tria Andika (LT 3)'!J7</f>
        <v>22743524</v>
      </c>
    </row>
    <row r="71" spans="2:4" ht="16.5">
      <c r="B71" s="1">
        <v>14</v>
      </c>
      <c r="C71" s="3" t="s">
        <v>22</v>
      </c>
      <c r="D71" s="5">
        <f>'SJ House - Tria Andika (KM)'!J7</f>
        <v>34348151</v>
      </c>
    </row>
    <row r="72" spans="2:4" ht="16.5">
      <c r="B72" s="1">
        <v>15</v>
      </c>
      <c r="C72" s="3" t="s">
        <v>23</v>
      </c>
      <c r="D72" s="5">
        <f>'FG House - Harapan Mulya'!J7</f>
        <v>6872375</v>
      </c>
    </row>
    <row r="73" spans="2:4" ht="16.5">
      <c r="B73" s="1">
        <v>16</v>
      </c>
      <c r="C73" s="3" t="s">
        <v>24</v>
      </c>
      <c r="D73" s="5">
        <f>'3HI Office - Kemayoran'!J7</f>
        <v>17230300</v>
      </c>
    </row>
    <row r="74" spans="2:4" ht="16.5">
      <c r="B74" s="1">
        <v>17</v>
      </c>
      <c r="C74" s="3" t="s">
        <v>25</v>
      </c>
      <c r="D74" s="5">
        <f>'Charity House - Bintaro'!J7</f>
        <v>29360000</v>
      </c>
    </row>
    <row r="75" spans="2:4" ht="16.5">
      <c r="B75" s="61"/>
      <c r="C75" s="62"/>
      <c r="D75" s="15"/>
    </row>
    <row r="77" spans="2:4" ht="16.5">
      <c r="B77" s="63" t="s">
        <v>28</v>
      </c>
      <c r="C77" s="64"/>
      <c r="D77" s="65"/>
    </row>
    <row r="78" spans="2:4" ht="16.5">
      <c r="B78" s="1">
        <v>1</v>
      </c>
      <c r="C78" s="3" t="s">
        <v>9</v>
      </c>
      <c r="D78" s="5">
        <f>'YP House - Yerry Primadi'!J8</f>
        <v>0</v>
      </c>
    </row>
    <row r="79" spans="2:4" ht="16.5">
      <c r="B79" s="1">
        <v>2</v>
      </c>
      <c r="C79" s="3" t="s">
        <v>10</v>
      </c>
      <c r="D79" s="5">
        <f>'SJ House - Tria Andika (LT1)'!J8</f>
        <v>78367000</v>
      </c>
    </row>
    <row r="80" spans="2:4" ht="16.5">
      <c r="B80" s="1">
        <v>3</v>
      </c>
      <c r="C80" s="3" t="s">
        <v>11</v>
      </c>
      <c r="D80" s="5">
        <f>'TJ House - Tommy Saputra (LT1)'!J8</f>
        <v>18200000</v>
      </c>
    </row>
    <row r="81" spans="2:4" ht="16.5">
      <c r="B81" s="1">
        <v>4</v>
      </c>
      <c r="C81" s="3" t="s">
        <v>12</v>
      </c>
      <c r="D81" s="5">
        <f>'TJ House - Tommy Saputra (LT2)'!J8</f>
        <v>17800000</v>
      </c>
    </row>
    <row r="82" spans="2:4" ht="16.5">
      <c r="B82" s="1">
        <v>5</v>
      </c>
      <c r="C82" s="3" t="s">
        <v>13</v>
      </c>
      <c r="D82" s="5">
        <f>'RM Kost - Epi Suryadinata'!J8</f>
        <v>148753670</v>
      </c>
    </row>
    <row r="83" spans="2:4" ht="16.5">
      <c r="B83" s="1">
        <v>6</v>
      </c>
      <c r="C83" s="3" t="s">
        <v>14</v>
      </c>
      <c r="D83" s="5">
        <f>'CR House - Erick'!J8</f>
        <v>4000000</v>
      </c>
    </row>
    <row r="84" spans="2:4" ht="16.5">
      <c r="B84" s="1">
        <v>7</v>
      </c>
      <c r="C84" s="3" t="s">
        <v>15</v>
      </c>
      <c r="D84" s="5">
        <f>'SJ House - Tria Andika (LT2)'!J8</f>
        <v>13833000</v>
      </c>
    </row>
    <row r="85" spans="2:4" ht="16.5">
      <c r="B85" s="1">
        <v>8</v>
      </c>
      <c r="C85" s="3" t="s">
        <v>16</v>
      </c>
      <c r="D85" s="5">
        <f>'DNN Office - Kemayoran'!J8</f>
        <v>157008500</v>
      </c>
    </row>
    <row r="86" spans="2:4" ht="16.5">
      <c r="B86" s="1">
        <v>9</v>
      </c>
      <c r="C86" s="3" t="s">
        <v>17</v>
      </c>
      <c r="D86" s="5">
        <f>'TJ House - Tommy Saputra (T3)'!J8</f>
        <v>20550000</v>
      </c>
    </row>
    <row r="87" spans="2:4" ht="16.5">
      <c r="B87" s="1">
        <v>10</v>
      </c>
      <c r="C87" s="3" t="s">
        <v>18</v>
      </c>
      <c r="D87" s="5">
        <f>'Kantor Blok SR - Kemayoran'!J8</f>
        <v>1345000</v>
      </c>
    </row>
    <row r="88" spans="2:4" ht="16.5">
      <c r="B88" s="1">
        <v>11</v>
      </c>
      <c r="C88" s="3" t="s">
        <v>19</v>
      </c>
      <c r="D88" s="5">
        <f>'Dapur Bebek - Bintaro'!J8</f>
        <v>50119400</v>
      </c>
    </row>
    <row r="89" spans="2:4" ht="16.5">
      <c r="B89" s="1">
        <v>12</v>
      </c>
      <c r="C89" s="3" t="s">
        <v>20</v>
      </c>
      <c r="D89" s="5">
        <f>'PH House - Bogor'!J8</f>
        <v>131808350</v>
      </c>
    </row>
    <row r="90" spans="2:4" ht="16.5">
      <c r="B90" s="1">
        <v>13</v>
      </c>
      <c r="C90" s="3" t="s">
        <v>21</v>
      </c>
      <c r="D90" s="5">
        <f>'SJ House - Tria Andika (LT 3)'!J8</f>
        <v>18725000</v>
      </c>
    </row>
    <row r="91" spans="2:4" ht="16.5">
      <c r="B91" s="1">
        <v>14</v>
      </c>
      <c r="C91" s="3" t="s">
        <v>22</v>
      </c>
      <c r="D91" s="5">
        <f>'SJ House - Tria Andika (KM)'!J8</f>
        <v>13524000</v>
      </c>
    </row>
    <row r="92" spans="2:4" ht="16.5">
      <c r="B92" s="1">
        <v>15</v>
      </c>
      <c r="C92" s="3" t="s">
        <v>23</v>
      </c>
      <c r="D92" s="5">
        <f>'FG House - Harapan Mulya'!J8</f>
        <v>4927000</v>
      </c>
    </row>
    <row r="93" spans="2:4" ht="16.5">
      <c r="B93" s="1">
        <v>16</v>
      </c>
      <c r="C93" s="3" t="s">
        <v>24</v>
      </c>
      <c r="D93" s="5">
        <f>'3HI Office - Kemayoran'!J8</f>
        <v>10782500</v>
      </c>
    </row>
    <row r="94" spans="2:4" ht="16.5">
      <c r="B94" s="1">
        <v>17</v>
      </c>
      <c r="C94" s="3" t="s">
        <v>25</v>
      </c>
      <c r="D94" s="5">
        <f>'Charity House - Bintaro'!J8</f>
        <v>1000000</v>
      </c>
    </row>
    <row r="95" spans="2:4" ht="16.5">
      <c r="B95" s="61"/>
      <c r="C95" s="62"/>
      <c r="D95" s="15"/>
    </row>
    <row r="97" spans="2:4" ht="16.5">
      <c r="B97" s="63" t="s">
        <v>29</v>
      </c>
      <c r="C97" s="64"/>
      <c r="D97" s="65"/>
    </row>
    <row r="98" spans="2:4" ht="16.5">
      <c r="B98" s="1">
        <v>1</v>
      </c>
      <c r="C98" s="3" t="s">
        <v>9</v>
      </c>
      <c r="D98" s="5">
        <f>'YP House - Yerry Primadi'!J9</f>
        <v>0</v>
      </c>
    </row>
    <row r="99" spans="2:4" ht="16.5">
      <c r="B99" s="1">
        <v>2</v>
      </c>
      <c r="C99" s="3" t="s">
        <v>10</v>
      </c>
      <c r="D99" s="5">
        <f>'SJ House - Tria Andika (LT1)'!J9</f>
        <v>0</v>
      </c>
    </row>
    <row r="100" spans="2:4" ht="16.5">
      <c r="B100" s="1">
        <v>3</v>
      </c>
      <c r="C100" s="3" t="s">
        <v>11</v>
      </c>
      <c r="D100" s="5">
        <f>'TJ House - Tommy Saputra (LT1)'!J9</f>
        <v>0</v>
      </c>
    </row>
    <row r="101" spans="2:4" ht="16.5">
      <c r="B101" s="1">
        <v>4</v>
      </c>
      <c r="C101" s="3" t="s">
        <v>12</v>
      </c>
      <c r="D101" s="5">
        <f>'TJ House - Tommy Saputra (LT2)'!J9</f>
        <v>0</v>
      </c>
    </row>
    <row r="102" spans="2:4" ht="16.5">
      <c r="B102" s="1">
        <v>5</v>
      </c>
      <c r="C102" s="3" t="s">
        <v>13</v>
      </c>
      <c r="D102" s="5">
        <f>'RM Kost - Epi Suryadinata'!J9</f>
        <v>0</v>
      </c>
    </row>
    <row r="103" spans="2:4" ht="16.5">
      <c r="B103" s="1">
        <v>6</v>
      </c>
      <c r="C103" s="3" t="s">
        <v>14</v>
      </c>
      <c r="D103" s="5">
        <f>'CR House - Erick'!J9</f>
        <v>0</v>
      </c>
    </row>
    <row r="104" spans="2:4" ht="16.5">
      <c r="B104" s="1">
        <v>7</v>
      </c>
      <c r="C104" s="3" t="s">
        <v>15</v>
      </c>
      <c r="D104" s="5">
        <f>'SJ House - Tria Andika (LT2)'!J9</f>
        <v>0</v>
      </c>
    </row>
    <row r="105" spans="2:4" ht="16.5">
      <c r="B105" s="1">
        <v>8</v>
      </c>
      <c r="C105" s="3" t="s">
        <v>16</v>
      </c>
      <c r="D105" s="5">
        <f>'DNN Office - Kemayoran'!J9</f>
        <v>0</v>
      </c>
    </row>
    <row r="106" spans="2:4" ht="16.5">
      <c r="B106" s="1">
        <v>9</v>
      </c>
      <c r="C106" s="3" t="s">
        <v>17</v>
      </c>
      <c r="D106" s="5">
        <f>'TJ House - Tommy Saputra (T3)'!J9</f>
        <v>0</v>
      </c>
    </row>
    <row r="107" spans="2:4" ht="16.5">
      <c r="B107" s="1">
        <v>10</v>
      </c>
      <c r="C107" s="3" t="s">
        <v>18</v>
      </c>
      <c r="D107" s="5">
        <f>'Kantor Blok SR - Kemayoran'!J9</f>
        <v>0</v>
      </c>
    </row>
    <row r="108" spans="2:4" ht="16.5">
      <c r="B108" s="1">
        <v>11</v>
      </c>
      <c r="C108" s="3" t="s">
        <v>19</v>
      </c>
      <c r="D108" s="5">
        <f>'Dapur Bebek - Bintaro'!J9</f>
        <v>0</v>
      </c>
    </row>
    <row r="109" spans="2:4" ht="16.5">
      <c r="B109" s="1">
        <v>12</v>
      </c>
      <c r="C109" s="3" t="s">
        <v>20</v>
      </c>
      <c r="D109" s="5">
        <f>'PH House - Bogor'!J9</f>
        <v>3796000</v>
      </c>
    </row>
    <row r="110" spans="2:4" ht="16.5">
      <c r="B110" s="1">
        <v>13</v>
      </c>
      <c r="C110" s="3" t="s">
        <v>21</v>
      </c>
      <c r="D110" s="5">
        <f>'SJ House - Tria Andika (LT 3)'!J9</f>
        <v>0</v>
      </c>
    </row>
    <row r="111" spans="2:4" ht="16.5">
      <c r="B111" s="1">
        <v>14</v>
      </c>
      <c r="C111" s="3" t="s">
        <v>22</v>
      </c>
      <c r="D111" s="5">
        <f>'SJ House - Tria Andika (KM)'!J9</f>
        <v>0</v>
      </c>
    </row>
    <row r="112" spans="2:4" ht="16.5">
      <c r="B112" s="1">
        <v>15</v>
      </c>
      <c r="C112" s="3" t="s">
        <v>23</v>
      </c>
      <c r="D112" s="5">
        <f>'FG House - Harapan Mulya'!J9</f>
        <v>0</v>
      </c>
    </row>
    <row r="113" spans="2:4" ht="16.5">
      <c r="B113" s="1">
        <v>16</v>
      </c>
      <c r="C113" s="3" t="s">
        <v>24</v>
      </c>
      <c r="D113" s="5">
        <f>'3HI Office - Kemayoran'!J9</f>
        <v>0</v>
      </c>
    </row>
    <row r="114" spans="2:4" ht="16.5">
      <c r="B114" s="1">
        <v>17</v>
      </c>
      <c r="C114" s="3" t="s">
        <v>25</v>
      </c>
      <c r="D114" s="5">
        <f>'Charity House - Bintaro'!J9</f>
        <v>0</v>
      </c>
    </row>
    <row r="115" spans="2:4" ht="16.5">
      <c r="B115" s="61"/>
      <c r="C115" s="62"/>
      <c r="D115" s="15"/>
    </row>
    <row r="117" spans="2:4" ht="16.5">
      <c r="B117" s="63" t="s">
        <v>30</v>
      </c>
      <c r="C117" s="64"/>
      <c r="D117" s="65"/>
    </row>
    <row r="118" spans="2:4" ht="16.5">
      <c r="B118" s="1">
        <v>1</v>
      </c>
      <c r="C118" s="3" t="s">
        <v>9</v>
      </c>
      <c r="D118" s="5">
        <f>'YP House - Yerry Primadi'!J10</f>
        <v>0</v>
      </c>
    </row>
    <row r="119" spans="2:4" ht="16.5">
      <c r="B119" s="1">
        <v>2</v>
      </c>
      <c r="C119" s="3" t="s">
        <v>10</v>
      </c>
      <c r="D119" s="5">
        <f>'SJ House - Tria Andika (LT1)'!J10</f>
        <v>6790800</v>
      </c>
    </row>
    <row r="120" spans="2:4" ht="16.5">
      <c r="B120" s="1">
        <v>3</v>
      </c>
      <c r="C120" s="3" t="s">
        <v>11</v>
      </c>
      <c r="D120" s="5">
        <f>'TJ House - Tommy Saputra (LT1)'!J10</f>
        <v>1937500</v>
      </c>
    </row>
    <row r="121" spans="2:4" ht="16.5">
      <c r="B121" s="1">
        <v>4</v>
      </c>
      <c r="C121" s="3" t="s">
        <v>12</v>
      </c>
      <c r="D121" s="5">
        <f>'TJ House - Tommy Saputra (LT2)'!J10</f>
        <v>325000</v>
      </c>
    </row>
    <row r="122" spans="2:4" ht="16.5">
      <c r="B122" s="1">
        <v>5</v>
      </c>
      <c r="C122" s="3" t="s">
        <v>13</v>
      </c>
      <c r="D122" s="5">
        <f>'RM Kost - Epi Suryadinata'!J10</f>
        <v>0</v>
      </c>
    </row>
    <row r="123" spans="2:4" ht="16.5">
      <c r="B123" s="1">
        <v>6</v>
      </c>
      <c r="C123" s="3" t="s">
        <v>14</v>
      </c>
      <c r="D123" s="5">
        <f>'CR House - Erick'!J10</f>
        <v>474000</v>
      </c>
    </row>
    <row r="124" spans="2:4" ht="16.5">
      <c r="B124" s="1">
        <v>7</v>
      </c>
      <c r="C124" s="3" t="s">
        <v>15</v>
      </c>
      <c r="D124" s="5">
        <f>'SJ House - Tria Andika (LT2)'!J10</f>
        <v>567000</v>
      </c>
    </row>
    <row r="125" spans="2:4" ht="16.5">
      <c r="B125" s="1">
        <v>8</v>
      </c>
      <c r="C125" s="3" t="s">
        <v>16</v>
      </c>
      <c r="D125" s="5">
        <f>'DNN Office - Kemayoran'!J10</f>
        <v>2471000</v>
      </c>
    </row>
    <row r="126" spans="2:4" ht="16.5">
      <c r="B126" s="1">
        <v>9</v>
      </c>
      <c r="C126" s="3" t="s">
        <v>17</v>
      </c>
      <c r="D126" s="5">
        <f>'TJ House - Tommy Saputra (T3)'!J10</f>
        <v>1892500</v>
      </c>
    </row>
    <row r="127" spans="2:4" ht="16.5">
      <c r="B127" s="1">
        <v>10</v>
      </c>
      <c r="C127" s="3" t="s">
        <v>18</v>
      </c>
      <c r="D127" s="5">
        <f>'Kantor Blok SR - Kemayoran'!J10</f>
        <v>0</v>
      </c>
    </row>
    <row r="128" spans="2:4" ht="16.5">
      <c r="B128" s="1">
        <v>11</v>
      </c>
      <c r="C128" s="3" t="s">
        <v>19</v>
      </c>
      <c r="D128" s="5">
        <f>'Dapur Bebek - Bintaro'!J10</f>
        <v>1850000</v>
      </c>
    </row>
    <row r="129" spans="2:4" ht="16.5">
      <c r="B129" s="1">
        <v>12</v>
      </c>
      <c r="C129" s="3" t="s">
        <v>20</v>
      </c>
      <c r="D129" s="5">
        <f>'PH House - Bogor'!J10</f>
        <v>2141600</v>
      </c>
    </row>
    <row r="130" spans="2:4" ht="16.5">
      <c r="B130" s="1">
        <v>13</v>
      </c>
      <c r="C130" s="3" t="s">
        <v>21</v>
      </c>
      <c r="D130" s="5">
        <f>'SJ House - Tria Andika (LT 3)'!J10</f>
        <v>1725000</v>
      </c>
    </row>
    <row r="131" spans="2:4" ht="16.5">
      <c r="B131" s="1">
        <v>14</v>
      </c>
      <c r="C131" s="3" t="s">
        <v>22</v>
      </c>
      <c r="D131" s="5">
        <f>'SJ House - Tria Andika (KM)'!J10</f>
        <v>1350000</v>
      </c>
    </row>
    <row r="132" spans="2:4" ht="16.5">
      <c r="B132" s="1">
        <v>15</v>
      </c>
      <c r="C132" s="3" t="s">
        <v>23</v>
      </c>
      <c r="D132" s="5">
        <f>'FG House - Harapan Mulya'!J10</f>
        <v>200000</v>
      </c>
    </row>
    <row r="133" spans="2:4" ht="16.5">
      <c r="B133" s="1">
        <v>16</v>
      </c>
      <c r="C133" s="3" t="s">
        <v>24</v>
      </c>
      <c r="D133" s="5">
        <f>'3HI Office - Kemayoran'!J10</f>
        <v>500000</v>
      </c>
    </row>
    <row r="134" spans="2:4" ht="16.5">
      <c r="B134" s="1">
        <v>17</v>
      </c>
      <c r="C134" s="3" t="s">
        <v>25</v>
      </c>
      <c r="D134" s="5">
        <f>'Charity House - Bintaro'!J10</f>
        <v>0</v>
      </c>
    </row>
    <row r="135" spans="2:4" ht="16.5">
      <c r="B135" s="61"/>
      <c r="C135" s="62"/>
      <c r="D135" s="15"/>
    </row>
  </sheetData>
  <mergeCells count="21">
    <mergeCell ref="B41:F41"/>
    <mergeCell ref="F42:F45"/>
    <mergeCell ref="F8:F25"/>
    <mergeCell ref="B32:F32"/>
    <mergeCell ref="B2:F2"/>
    <mergeCell ref="B3:F3"/>
    <mergeCell ref="B4:F4"/>
    <mergeCell ref="B5:F5"/>
    <mergeCell ref="B7:F7"/>
    <mergeCell ref="B26:F26"/>
    <mergeCell ref="B31:C31"/>
    <mergeCell ref="F27:F30"/>
    <mergeCell ref="B40:C40"/>
    <mergeCell ref="D31:F31"/>
    <mergeCell ref="D40:F40"/>
    <mergeCell ref="F33:F39"/>
    <mergeCell ref="B117:D117"/>
    <mergeCell ref="B57:D57"/>
    <mergeCell ref="B77:D77"/>
    <mergeCell ref="B97:D97"/>
    <mergeCell ref="B46:C46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80"/>
  <sheetViews>
    <sheetView topLeftCell="A454" workbookViewId="0">
      <selection activeCell="D468" sqref="D468"/>
    </sheetView>
  </sheetViews>
  <sheetFormatPr defaultRowHeight="15"/>
  <cols>
    <col min="3" max="3" width="14.42578125" customWidth="1"/>
    <col min="4" max="4" width="46.85546875" customWidth="1"/>
    <col min="5" max="7" width="24.42578125" customWidth="1"/>
    <col min="9" max="9" width="38" customWidth="1"/>
    <col min="10" max="10" width="26.140625" customWidth="1"/>
    <col min="11" max="12" width="28.5703125" customWidth="1"/>
  </cols>
  <sheetData>
    <row r="2" spans="2:12" ht="25.5" customHeight="1">
      <c r="B2" s="85" t="s">
        <v>0</v>
      </c>
      <c r="C2" s="86"/>
      <c r="D2" s="86"/>
      <c r="E2" s="86"/>
      <c r="F2" s="86"/>
      <c r="G2" s="87"/>
    </row>
    <row r="3" spans="2:12" ht="25.5" customHeight="1">
      <c r="B3" s="88" t="s">
        <v>1</v>
      </c>
      <c r="C3" s="89"/>
      <c r="D3" s="89"/>
      <c r="E3" s="89"/>
      <c r="F3" s="89"/>
      <c r="G3" s="90"/>
    </row>
    <row r="4" spans="2:12" ht="25.5" customHeight="1">
      <c r="B4" s="91" t="s">
        <v>2</v>
      </c>
      <c r="C4" s="92"/>
      <c r="D4" s="92"/>
      <c r="E4" s="92"/>
      <c r="F4" s="92"/>
      <c r="G4" s="93"/>
    </row>
    <row r="5" spans="2:12" ht="25.5" customHeight="1" thickBot="1">
      <c r="B5" s="94">
        <v>2026</v>
      </c>
      <c r="C5" s="95"/>
      <c r="D5" s="95"/>
      <c r="E5" s="95"/>
      <c r="F5" s="95"/>
      <c r="G5" s="96"/>
    </row>
    <row r="6" spans="2:12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2" ht="18.75" customHeight="1" thickTop="1">
      <c r="B7" s="1">
        <v>1</v>
      </c>
      <c r="C7" s="2">
        <v>46023</v>
      </c>
      <c r="D7" s="3" t="s">
        <v>56</v>
      </c>
      <c r="E7" s="4">
        <v>12500179.890000001</v>
      </c>
      <c r="F7" s="4"/>
      <c r="G7" s="5">
        <f>E7</f>
        <v>12500179.890000001</v>
      </c>
      <c r="I7" s="20" t="s">
        <v>33</v>
      </c>
      <c r="J7" s="5">
        <f>F15+F16+F27+F28+F43+F44+F76+F77+F118+F119+F124+F188+F189+F200+SUM(F294:F295)+F305+F368+F380+F381+F429+F430+F440</f>
        <v>119500000</v>
      </c>
    </row>
    <row r="8" spans="2:12" ht="18.75" customHeight="1">
      <c r="B8" s="1">
        <v>2</v>
      </c>
      <c r="C8" s="2">
        <v>46033</v>
      </c>
      <c r="D8" s="30" t="s">
        <v>57</v>
      </c>
      <c r="E8" s="4"/>
      <c r="F8" s="4">
        <v>359990</v>
      </c>
      <c r="G8" s="5">
        <f>G7-F8</f>
        <v>12140189.890000001</v>
      </c>
      <c r="I8" s="27" t="s">
        <v>34</v>
      </c>
      <c r="J8" s="5">
        <f>SUM(K8:L8)</f>
        <v>23596236</v>
      </c>
      <c r="K8" s="54">
        <f>SUM(F21,F23,F34,F39,F45:F46,F48:F49,F58,F64:F65,F67,F72,F74,F78,F94,F97:F98,F104:F105,F107,F109,F113:F115,F123,F125,F132,F135,F140,F150,F154:F155,F159:F160,F162,F166,F169:F170,F173,F181:F182,F184,F186:F187,F190,F192:F193,F198,F202,F208,F217,F220,F236,F242,F256)</f>
        <v>12575255</v>
      </c>
      <c r="L8" s="54">
        <f>SUM(F257:F258,F270,F287,F289,F293,F312,F316,F326:F327,F337,F346:F348,F352,F354,F356,F360:F361,F363:F364,F374,F377,F379,F382:F383,F394,F400,F402,F404,F408:F409,F418:F419,F421,F428,F433,F446:F447,F455)</f>
        <v>11020981</v>
      </c>
    </row>
    <row r="9" spans="2:12" ht="18.75" customHeight="1">
      <c r="B9" s="1">
        <v>3</v>
      </c>
      <c r="C9" s="29">
        <v>46038</v>
      </c>
      <c r="D9" s="31" t="s">
        <v>58</v>
      </c>
      <c r="E9" s="4"/>
      <c r="F9" s="4">
        <v>10000</v>
      </c>
      <c r="G9" s="5">
        <f>G8-F9</f>
        <v>12130189.890000001</v>
      </c>
      <c r="I9" s="22" t="s">
        <v>35</v>
      </c>
      <c r="J9" s="5">
        <f>SUM(K9:L9)</f>
        <v>30134858</v>
      </c>
      <c r="K9" s="54">
        <f>SUM(F30:F33,F37,F51,F54:F57,F59:F61,F66,F69:F71,F73,F75,F79,F84,F86:F87,F92,F95:F96,F99:F103,F110,F116:F117,F120:F121,F129:F131,F133,F136,F139,F141:F143,F145,F148:F149,F151,F153,F156:F158,F171,F175:F176,F185,F191,F195,F201,F204:F206,F209,F211:F215,F218,F222:F226,F229:F230,F232,F235,F239,F243,F247,F250:F251,F254)</f>
        <v>14647097</v>
      </c>
      <c r="L9" s="48">
        <f>SUM(F263,F265:F268,F271:F272,F275:F277,F279:F283,F286,F290,F297:F299,F302,F306:F307,F309,F314:F315,F319:F325,F328:F331,F333:F336,F338,F340:F345,F349:F351,F353,F355,F357,F359,F362,F365,F369:F373,F375:F376,F384,F387:F390,F392,F395:F399,F401,F403,F407,F410:F412,F415:F417,F420,F422:F423,F425,F427,F432,F436:F439,F443:F444,F448,F451,F454,F456:F461)</f>
        <v>15487761</v>
      </c>
    </row>
    <row r="10" spans="2:12" ht="18.75" customHeight="1">
      <c r="B10" s="1">
        <v>4</v>
      </c>
      <c r="C10" s="2">
        <v>46039</v>
      </c>
      <c r="D10" s="12" t="s">
        <v>59</v>
      </c>
      <c r="E10" s="4">
        <f>'YP House - Yerry Primadi'!G11</f>
        <v>5637000</v>
      </c>
      <c r="F10" s="4"/>
      <c r="G10" s="5">
        <f>G9+E10</f>
        <v>17767189.890000001</v>
      </c>
      <c r="I10" s="17" t="s">
        <v>36</v>
      </c>
      <c r="J10" s="5">
        <f>F36+F144+F233+F303+F313+F414+F431+SUM(F449:F450)</f>
        <v>4129979</v>
      </c>
      <c r="K10" s="54"/>
    </row>
    <row r="11" spans="2:12" ht="18.75" customHeight="1">
      <c r="B11" s="1">
        <v>5</v>
      </c>
      <c r="C11" s="2">
        <v>46039</v>
      </c>
      <c r="D11" s="30" t="s">
        <v>60</v>
      </c>
      <c r="E11" s="4"/>
      <c r="F11" s="4">
        <v>234000</v>
      </c>
      <c r="G11" s="5">
        <f>G10-F11</f>
        <v>17533189.890000001</v>
      </c>
      <c r="I11" s="23" t="s">
        <v>37</v>
      </c>
      <c r="J11" s="5">
        <f>F17+F20+F22+F24+F35+F41+F63+F80+F174+F245+F252+F284+F339+F413+F435</f>
        <v>34329899</v>
      </c>
    </row>
    <row r="12" spans="2:12" ht="18.75" customHeight="1">
      <c r="B12" s="1">
        <v>6</v>
      </c>
      <c r="C12" s="2">
        <v>46041</v>
      </c>
      <c r="D12" s="30" t="s">
        <v>61</v>
      </c>
      <c r="E12" s="4"/>
      <c r="F12" s="4">
        <v>280900</v>
      </c>
      <c r="G12" s="5">
        <f t="shared" ref="G12:G17" si="0">G11-F12</f>
        <v>17252289.890000001</v>
      </c>
      <c r="I12" s="24" t="s">
        <v>39</v>
      </c>
      <c r="J12" s="5">
        <f>F9-E18+F19+F25-E29+F42-E52+F53+F68-E89+F90+F108-E126+F127+F128-E196+F197+F203-E310+F311+F318-E385+F386+F391-E441+F442+F453</f>
        <v>69477.289999999979</v>
      </c>
    </row>
    <row r="13" spans="2:12" ht="18.75" customHeight="1">
      <c r="B13" s="1">
        <v>7</v>
      </c>
      <c r="C13" s="2">
        <v>46041</v>
      </c>
      <c r="D13" s="30" t="s">
        <v>62</v>
      </c>
      <c r="E13" s="4"/>
      <c r="F13" s="4">
        <v>270000</v>
      </c>
      <c r="G13" s="5">
        <f t="shared" si="0"/>
        <v>16982289.890000001</v>
      </c>
      <c r="I13" s="25" t="s">
        <v>42</v>
      </c>
      <c r="J13" s="5">
        <f>F8+SUM(F11:F14)+F81+F85+F91+F93+F146+F163+F167+SUM(F177:F178)+F180+F216+F219+F221+SUM(F227:F228)+F231+F234+SUM(F237:F238)+F246+F249+F253+F255+F260+F273+F288+F291+SUM(F366:F367)+SUM(F405:F406)</f>
        <v>33827440</v>
      </c>
    </row>
    <row r="14" spans="2:12" ht="18.75" customHeight="1">
      <c r="B14" s="1">
        <v>8</v>
      </c>
      <c r="C14" s="2">
        <v>46042</v>
      </c>
      <c r="D14" s="30" t="s">
        <v>63</v>
      </c>
      <c r="E14" s="4"/>
      <c r="F14" s="4">
        <v>150000</v>
      </c>
      <c r="G14" s="5">
        <f t="shared" si="0"/>
        <v>16832289.890000001</v>
      </c>
      <c r="I14" s="41" t="s">
        <v>43</v>
      </c>
      <c r="J14" s="5">
        <f>F38+F47+F134+F137+F285+F332+F378</f>
        <v>7810000</v>
      </c>
    </row>
    <row r="15" spans="2:12" ht="18.75" customHeight="1">
      <c r="B15" s="1">
        <v>9</v>
      </c>
      <c r="C15" s="2">
        <v>46047</v>
      </c>
      <c r="D15" s="21" t="s">
        <v>64</v>
      </c>
      <c r="E15" s="4"/>
      <c r="F15" s="4">
        <v>5000000</v>
      </c>
      <c r="G15" s="5">
        <f t="shared" si="0"/>
        <v>11832289.890000001</v>
      </c>
      <c r="I15" s="26" t="s">
        <v>44</v>
      </c>
      <c r="J15" s="5">
        <f>F50+F62+F82+F106+F147+F152+F161+F164+F168+F199+F434+F445</f>
        <v>7678176</v>
      </c>
    </row>
    <row r="16" spans="2:12" ht="18.75" customHeight="1">
      <c r="B16" s="1">
        <v>10</v>
      </c>
      <c r="C16" s="2">
        <v>46047</v>
      </c>
      <c r="D16" s="21" t="s">
        <v>65</v>
      </c>
      <c r="E16" s="4"/>
      <c r="F16" s="4">
        <v>5000000</v>
      </c>
      <c r="G16" s="5">
        <f t="shared" si="0"/>
        <v>6832289.8900000006</v>
      </c>
      <c r="I16" s="50" t="s">
        <v>45</v>
      </c>
      <c r="J16" s="5">
        <f>F122</f>
        <v>2399001</v>
      </c>
      <c r="K16" s="48"/>
    </row>
    <row r="17" spans="2:11" ht="18.75" customHeight="1" thickBot="1">
      <c r="B17" s="1">
        <v>11</v>
      </c>
      <c r="C17" s="29">
        <v>46050</v>
      </c>
      <c r="D17" s="32" t="s">
        <v>66</v>
      </c>
      <c r="E17" s="4"/>
      <c r="F17" s="4">
        <v>357000</v>
      </c>
      <c r="G17" s="5">
        <f t="shared" si="0"/>
        <v>6475289.8900000006</v>
      </c>
      <c r="I17" s="53" t="s">
        <v>38</v>
      </c>
      <c r="J17" s="51">
        <f>F172+F179+F183+F194+F207+F241+F248+F259+SUM(F261:F262)+F264+F274+F278+F296+SUM(F300:F301)+F304+F308+F317+F358+F292</f>
        <v>21895000</v>
      </c>
      <c r="K17" s="48"/>
    </row>
    <row r="18" spans="2:11" ht="18.75" customHeight="1" thickTop="1">
      <c r="B18" s="1">
        <v>12</v>
      </c>
      <c r="C18" s="2">
        <v>46053</v>
      </c>
      <c r="D18" s="31" t="s">
        <v>67</v>
      </c>
      <c r="E18" s="4">
        <v>251.4</v>
      </c>
      <c r="F18" s="4"/>
      <c r="G18" s="5">
        <f>G17+E18</f>
        <v>6475541.290000001</v>
      </c>
      <c r="J18" s="35">
        <f>SUM(J7:J17)+E18+E29+E52+E89+E126+E196+E310+E385+E441</f>
        <v>285408199.75</v>
      </c>
      <c r="K18" s="48"/>
    </row>
    <row r="19" spans="2:11" ht="18.75" customHeight="1">
      <c r="B19" s="1">
        <v>13</v>
      </c>
      <c r="C19" s="2">
        <v>46053</v>
      </c>
      <c r="D19" s="31" t="s">
        <v>68</v>
      </c>
      <c r="E19" s="4"/>
      <c r="F19" s="4">
        <v>50.28</v>
      </c>
      <c r="G19" s="5">
        <f>G18-F19</f>
        <v>6475491.0100000007</v>
      </c>
      <c r="J19" s="56">
        <f>F473-J18</f>
        <v>550600</v>
      </c>
    </row>
    <row r="20" spans="2:11" ht="18.75" customHeight="1">
      <c r="B20" s="1">
        <v>14</v>
      </c>
      <c r="C20" s="2">
        <v>46055</v>
      </c>
      <c r="D20" s="32" t="s">
        <v>69</v>
      </c>
      <c r="E20" s="4"/>
      <c r="F20" s="4">
        <v>251000</v>
      </c>
      <c r="G20" s="5">
        <f>G19-F20</f>
        <v>6224491.0100000007</v>
      </c>
      <c r="J20" s="48"/>
    </row>
    <row r="21" spans="2:11" ht="18.75" customHeight="1">
      <c r="B21" s="1">
        <v>15</v>
      </c>
      <c r="C21" s="29">
        <v>46057</v>
      </c>
      <c r="D21" s="28" t="s">
        <v>70</v>
      </c>
      <c r="E21" s="4"/>
      <c r="F21" s="4">
        <v>126400</v>
      </c>
      <c r="G21" s="5">
        <f t="shared" ref="G21:I22" si="1">G20-F21</f>
        <v>6098091.0100000007</v>
      </c>
    </row>
    <row r="22" spans="2:11" ht="18.75" customHeight="1">
      <c r="B22" s="1">
        <v>16</v>
      </c>
      <c r="C22" s="2">
        <v>46062</v>
      </c>
      <c r="D22" s="32" t="s">
        <v>71</v>
      </c>
      <c r="E22" s="4"/>
      <c r="F22" s="4">
        <v>257000</v>
      </c>
      <c r="G22" s="5">
        <f t="shared" si="1"/>
        <v>5841091.0100000007</v>
      </c>
      <c r="J22" s="57"/>
    </row>
    <row r="23" spans="2:11" ht="18.75" customHeight="1">
      <c r="B23" s="1">
        <v>17</v>
      </c>
      <c r="C23" s="2">
        <v>46069</v>
      </c>
      <c r="D23" s="28" t="s">
        <v>72</v>
      </c>
      <c r="E23" s="4"/>
      <c r="F23" s="4">
        <v>609000</v>
      </c>
      <c r="G23" s="5">
        <f>G22-F23</f>
        <v>5232091.0100000007</v>
      </c>
    </row>
    <row r="24" spans="2:11" ht="18.75" customHeight="1">
      <c r="B24" s="1">
        <v>18</v>
      </c>
      <c r="C24" s="2">
        <v>46072</v>
      </c>
      <c r="D24" s="32" t="s">
        <v>73</v>
      </c>
      <c r="E24" s="4"/>
      <c r="F24" s="4">
        <v>120000</v>
      </c>
      <c r="G24" s="5">
        <f>G23-F24</f>
        <v>5112091.0100000007</v>
      </c>
    </row>
    <row r="25" spans="2:11" ht="18.75" customHeight="1">
      <c r="B25" s="1">
        <v>19</v>
      </c>
      <c r="C25" s="2">
        <v>46073</v>
      </c>
      <c r="D25" s="31" t="s">
        <v>58</v>
      </c>
      <c r="E25" s="4"/>
      <c r="F25" s="4">
        <v>10000</v>
      </c>
      <c r="G25" s="5">
        <f>G24-F25</f>
        <v>5102091.0100000007</v>
      </c>
    </row>
    <row r="26" spans="2:11" ht="18.75" customHeight="1">
      <c r="B26" s="1">
        <v>20</v>
      </c>
      <c r="C26" s="2">
        <v>46076</v>
      </c>
      <c r="D26" s="12" t="s">
        <v>74</v>
      </c>
      <c r="E26" s="4">
        <f>'SJ House - Tria Andika (LT1)'!G186</f>
        <v>84022482</v>
      </c>
      <c r="F26" s="4"/>
      <c r="G26" s="5">
        <f>G25+E26</f>
        <v>89124573.010000005</v>
      </c>
    </row>
    <row r="27" spans="2:11" ht="18.75" customHeight="1">
      <c r="B27" s="1">
        <v>21</v>
      </c>
      <c r="C27" s="2">
        <v>46079</v>
      </c>
      <c r="D27" s="21" t="s">
        <v>75</v>
      </c>
      <c r="E27" s="4"/>
      <c r="F27" s="4">
        <v>5000000</v>
      </c>
      <c r="G27" s="5">
        <f>G26-F27</f>
        <v>84124573.010000005</v>
      </c>
    </row>
    <row r="28" spans="2:11" ht="18.75" customHeight="1">
      <c r="B28" s="1">
        <v>22</v>
      </c>
      <c r="C28" s="2">
        <v>46079</v>
      </c>
      <c r="D28" s="21" t="s">
        <v>76</v>
      </c>
      <c r="E28" s="4"/>
      <c r="F28" s="4">
        <v>5000000</v>
      </c>
      <c r="G28" s="5">
        <f>G27-F28</f>
        <v>79124573.010000005</v>
      </c>
    </row>
    <row r="29" spans="2:11" ht="18.75" customHeight="1">
      <c r="B29" s="1">
        <v>23</v>
      </c>
      <c r="C29" s="2">
        <v>46081</v>
      </c>
      <c r="D29" s="31" t="s">
        <v>67</v>
      </c>
      <c r="E29" s="4">
        <v>79.67</v>
      </c>
      <c r="F29" s="4"/>
      <c r="G29" s="5">
        <f>G28+E29</f>
        <v>79124652.680000007</v>
      </c>
    </row>
    <row r="30" spans="2:11" ht="18.75" customHeight="1">
      <c r="B30" s="1">
        <v>24</v>
      </c>
      <c r="C30" s="2">
        <v>46084</v>
      </c>
      <c r="D30" s="36" t="s">
        <v>77</v>
      </c>
      <c r="E30" s="4"/>
      <c r="F30" s="4">
        <f>292000+24000</f>
        <v>316000</v>
      </c>
      <c r="G30" s="5">
        <f>G29-F30</f>
        <v>78808652.680000007</v>
      </c>
    </row>
    <row r="31" spans="2:11" ht="18.75" customHeight="1">
      <c r="B31" s="1">
        <v>25</v>
      </c>
      <c r="C31" s="2">
        <v>46085</v>
      </c>
      <c r="D31" s="36" t="s">
        <v>77</v>
      </c>
      <c r="E31" s="4"/>
      <c r="F31" s="4">
        <f>136000+10000</f>
        <v>146000</v>
      </c>
      <c r="G31" s="5">
        <f>G30-F31</f>
        <v>78662652.680000007</v>
      </c>
    </row>
    <row r="32" spans="2:11" ht="18.75" customHeight="1">
      <c r="B32" s="1">
        <v>26</v>
      </c>
      <c r="C32" s="2">
        <v>46086</v>
      </c>
      <c r="D32" s="36" t="s">
        <v>77</v>
      </c>
      <c r="E32" s="4"/>
      <c r="F32" s="4">
        <v>70000</v>
      </c>
      <c r="G32" s="5">
        <f>G31-F32</f>
        <v>78592652.680000007</v>
      </c>
    </row>
    <row r="33" spans="2:7" ht="18.75" customHeight="1">
      <c r="B33" s="1">
        <v>27</v>
      </c>
      <c r="C33" s="2">
        <v>46088</v>
      </c>
      <c r="D33" s="36" t="s">
        <v>78</v>
      </c>
      <c r="E33" s="4"/>
      <c r="F33" s="4">
        <f>32000+23700</f>
        <v>55700</v>
      </c>
      <c r="G33" s="5">
        <f>G32-F33</f>
        <v>78536952.680000007</v>
      </c>
    </row>
    <row r="34" spans="2:7" ht="18.75" customHeight="1">
      <c r="B34" s="1">
        <v>28</v>
      </c>
      <c r="C34" s="2">
        <v>46093</v>
      </c>
      <c r="D34" s="28" t="s">
        <v>79</v>
      </c>
      <c r="E34" s="4"/>
      <c r="F34" s="4">
        <v>230000</v>
      </c>
      <c r="G34" s="5">
        <f>G33-F34</f>
        <v>78306952.680000007</v>
      </c>
    </row>
    <row r="35" spans="2:7" ht="18.75" customHeight="1">
      <c r="B35" s="1">
        <v>29</v>
      </c>
      <c r="C35" s="2">
        <v>46094</v>
      </c>
      <c r="D35" s="32" t="s">
        <v>80</v>
      </c>
      <c r="E35" s="4"/>
      <c r="F35" s="4">
        <v>890000</v>
      </c>
      <c r="G35" s="5">
        <f>G34-F35</f>
        <v>77416952.680000007</v>
      </c>
    </row>
    <row r="36" spans="2:7" ht="18.75" customHeight="1">
      <c r="B36" s="1">
        <v>30</v>
      </c>
      <c r="C36" s="2">
        <v>46097</v>
      </c>
      <c r="D36" s="40" t="s">
        <v>81</v>
      </c>
      <c r="E36" s="4"/>
      <c r="F36" s="4">
        <v>438000</v>
      </c>
      <c r="G36" s="5">
        <f t="shared" ref="G36:G44" si="2">G35-F36</f>
        <v>76978952.680000007</v>
      </c>
    </row>
    <row r="37" spans="2:7" ht="18.75" customHeight="1">
      <c r="B37" s="1">
        <v>31</v>
      </c>
      <c r="C37" s="2">
        <v>46097</v>
      </c>
      <c r="D37" s="36" t="s">
        <v>77</v>
      </c>
      <c r="E37" s="4"/>
      <c r="F37" s="4">
        <v>417200</v>
      </c>
      <c r="G37" s="5">
        <f t="shared" si="2"/>
        <v>76561752.680000007</v>
      </c>
    </row>
    <row r="38" spans="2:7" ht="18.75" customHeight="1">
      <c r="B38" s="1">
        <v>32</v>
      </c>
      <c r="C38" s="2">
        <v>46097</v>
      </c>
      <c r="D38" s="42" t="s">
        <v>82</v>
      </c>
      <c r="E38" s="4"/>
      <c r="F38" s="4">
        <v>3002500</v>
      </c>
      <c r="G38" s="5">
        <f t="shared" si="2"/>
        <v>73559252.680000007</v>
      </c>
    </row>
    <row r="39" spans="2:7" ht="18.75" customHeight="1">
      <c r="B39" s="1">
        <v>33</v>
      </c>
      <c r="C39" s="2">
        <v>46098</v>
      </c>
      <c r="D39" s="28" t="s">
        <v>83</v>
      </c>
      <c r="E39" s="4"/>
      <c r="F39" s="4">
        <v>280000</v>
      </c>
      <c r="G39" s="5">
        <f t="shared" si="2"/>
        <v>73279252.680000007</v>
      </c>
    </row>
    <row r="40" spans="2:7" ht="18.75" customHeight="1">
      <c r="B40" s="1">
        <v>34</v>
      </c>
      <c r="C40" s="2">
        <v>46098</v>
      </c>
      <c r="D40" s="12" t="s">
        <v>84</v>
      </c>
      <c r="E40" s="4">
        <f>'TJ House - Tommy Saputra (LT1)'!G60</f>
        <v>16959517</v>
      </c>
      <c r="F40" s="4"/>
      <c r="G40" s="5">
        <f>G39+E40</f>
        <v>90238769.680000007</v>
      </c>
    </row>
    <row r="41" spans="2:7" ht="18.75" customHeight="1">
      <c r="B41" s="1">
        <v>35</v>
      </c>
      <c r="C41" s="2">
        <v>46101</v>
      </c>
      <c r="D41" s="32" t="s">
        <v>85</v>
      </c>
      <c r="E41" s="4"/>
      <c r="F41" s="4">
        <v>1500000</v>
      </c>
      <c r="G41" s="5">
        <f t="shared" si="2"/>
        <v>88738769.680000007</v>
      </c>
    </row>
    <row r="42" spans="2:7" ht="18.75" customHeight="1">
      <c r="B42" s="1">
        <v>36</v>
      </c>
      <c r="C42" s="2">
        <v>46101</v>
      </c>
      <c r="D42" s="31" t="s">
        <v>58</v>
      </c>
      <c r="E42" s="4"/>
      <c r="F42" s="4">
        <v>10000</v>
      </c>
      <c r="G42" s="5">
        <f t="shared" si="2"/>
        <v>88728769.680000007</v>
      </c>
    </row>
    <row r="43" spans="2:7" ht="18.75" customHeight="1">
      <c r="B43" s="1">
        <v>37</v>
      </c>
      <c r="C43" s="2">
        <v>46107</v>
      </c>
      <c r="D43" s="21" t="s">
        <v>86</v>
      </c>
      <c r="E43" s="4"/>
      <c r="F43" s="4">
        <v>5000000</v>
      </c>
      <c r="G43" s="5">
        <f t="shared" si="2"/>
        <v>83728769.680000007</v>
      </c>
    </row>
    <row r="44" spans="2:7" ht="18.75" customHeight="1">
      <c r="B44" s="1">
        <v>38</v>
      </c>
      <c r="C44" s="2">
        <v>46107</v>
      </c>
      <c r="D44" s="21" t="s">
        <v>87</v>
      </c>
      <c r="E44" s="4"/>
      <c r="F44" s="4">
        <v>5000000</v>
      </c>
      <c r="G44" s="5">
        <f t="shared" si="2"/>
        <v>78728769.680000007</v>
      </c>
    </row>
    <row r="45" spans="2:7" ht="18.75" customHeight="1">
      <c r="B45" s="1">
        <v>39</v>
      </c>
      <c r="C45" s="2">
        <v>46107</v>
      </c>
      <c r="D45" s="28" t="s">
        <v>88</v>
      </c>
      <c r="E45" s="4"/>
      <c r="F45" s="4">
        <v>100000</v>
      </c>
      <c r="G45" s="5">
        <f>G44-F45</f>
        <v>78628769.680000007</v>
      </c>
    </row>
    <row r="46" spans="2:7" ht="18.75" customHeight="1">
      <c r="B46" s="1">
        <v>40</v>
      </c>
      <c r="C46" s="2">
        <v>46109</v>
      </c>
      <c r="D46" s="28" t="s">
        <v>89</v>
      </c>
      <c r="E46" s="4"/>
      <c r="F46" s="4">
        <v>50000</v>
      </c>
      <c r="G46" s="5">
        <f t="shared" ref="G46:G51" si="3">G45-F46</f>
        <v>78578769.680000007</v>
      </c>
    </row>
    <row r="47" spans="2:7" ht="18.75" customHeight="1">
      <c r="B47" s="1">
        <v>41</v>
      </c>
      <c r="C47" s="2">
        <v>46110</v>
      </c>
      <c r="D47" s="42" t="s">
        <v>90</v>
      </c>
      <c r="E47" s="4"/>
      <c r="F47" s="4">
        <v>1002500</v>
      </c>
      <c r="G47" s="5">
        <f t="shared" si="3"/>
        <v>77576269.680000007</v>
      </c>
    </row>
    <row r="48" spans="2:7" ht="18.75" customHeight="1">
      <c r="B48" s="1">
        <v>42</v>
      </c>
      <c r="C48" s="2">
        <v>46111</v>
      </c>
      <c r="D48" s="28" t="s">
        <v>91</v>
      </c>
      <c r="E48" s="4"/>
      <c r="F48" s="4">
        <v>132000</v>
      </c>
      <c r="G48" s="5">
        <f t="shared" si="3"/>
        <v>77444269.680000007</v>
      </c>
    </row>
    <row r="49" spans="2:7" ht="18.75" customHeight="1">
      <c r="B49" s="1">
        <v>43</v>
      </c>
      <c r="C49" s="2">
        <v>46111</v>
      </c>
      <c r="D49" s="28" t="s">
        <v>92</v>
      </c>
      <c r="E49" s="4"/>
      <c r="F49" s="4">
        <v>110000</v>
      </c>
      <c r="G49" s="5">
        <f t="shared" si="3"/>
        <v>77334269.680000007</v>
      </c>
    </row>
    <row r="50" spans="2:7" ht="18.75" customHeight="1">
      <c r="B50" s="1">
        <v>44</v>
      </c>
      <c r="C50" s="29">
        <v>46111</v>
      </c>
      <c r="D50" s="43" t="s">
        <v>93</v>
      </c>
      <c r="E50" s="4"/>
      <c r="F50" s="4">
        <v>310000</v>
      </c>
      <c r="G50" s="5">
        <f t="shared" si="3"/>
        <v>77024269.680000007</v>
      </c>
    </row>
    <row r="51" spans="2:7" ht="18.75" customHeight="1">
      <c r="B51" s="1">
        <v>45</v>
      </c>
      <c r="C51" s="2">
        <v>46112</v>
      </c>
      <c r="D51" s="36" t="s">
        <v>94</v>
      </c>
      <c r="E51" s="4"/>
      <c r="F51" s="4">
        <v>57000</v>
      </c>
      <c r="G51" s="5">
        <f t="shared" si="3"/>
        <v>76967269.680000007</v>
      </c>
    </row>
    <row r="52" spans="2:7" ht="18.75" customHeight="1">
      <c r="B52" s="1">
        <v>46</v>
      </c>
      <c r="C52" s="2">
        <v>46112</v>
      </c>
      <c r="D52" s="31" t="s">
        <v>67</v>
      </c>
      <c r="E52" s="4">
        <v>1691.5</v>
      </c>
      <c r="F52" s="4"/>
      <c r="G52" s="5">
        <f>G51+E52</f>
        <v>76968961.180000007</v>
      </c>
    </row>
    <row r="53" spans="2:7" ht="18.75" customHeight="1">
      <c r="B53" s="1">
        <v>47</v>
      </c>
      <c r="C53" s="2">
        <v>46112</v>
      </c>
      <c r="D53" s="31" t="s">
        <v>68</v>
      </c>
      <c r="E53" s="4"/>
      <c r="F53" s="4">
        <v>338.3</v>
      </c>
      <c r="G53" s="5">
        <f>G52-F53</f>
        <v>76968622.88000001</v>
      </c>
    </row>
    <row r="54" spans="2:7" ht="18.75" customHeight="1">
      <c r="B54" s="1">
        <v>48</v>
      </c>
      <c r="C54" s="2">
        <v>46116</v>
      </c>
      <c r="D54" s="36" t="s">
        <v>94</v>
      </c>
      <c r="E54" s="4"/>
      <c r="F54" s="4">
        <v>85000</v>
      </c>
      <c r="G54" s="5">
        <f t="shared" ref="G54:G70" si="4">G53-F54</f>
        <v>76883622.88000001</v>
      </c>
    </row>
    <row r="55" spans="2:7" ht="18.75" customHeight="1">
      <c r="B55" s="1">
        <v>49</v>
      </c>
      <c r="C55" s="2">
        <v>46117</v>
      </c>
      <c r="D55" s="36" t="s">
        <v>94</v>
      </c>
      <c r="E55" s="4"/>
      <c r="F55" s="4">
        <v>266000</v>
      </c>
      <c r="G55" s="5">
        <f t="shared" si="4"/>
        <v>76617622.88000001</v>
      </c>
    </row>
    <row r="56" spans="2:7" ht="18.75" customHeight="1">
      <c r="B56" s="1">
        <v>50</v>
      </c>
      <c r="C56" s="2">
        <v>46118</v>
      </c>
      <c r="D56" s="36" t="s">
        <v>94</v>
      </c>
      <c r="E56" s="4"/>
      <c r="F56" s="4">
        <v>13000</v>
      </c>
      <c r="G56" s="5">
        <f t="shared" si="4"/>
        <v>76604622.88000001</v>
      </c>
    </row>
    <row r="57" spans="2:7" ht="18.75" customHeight="1">
      <c r="B57" s="1">
        <v>51</v>
      </c>
      <c r="C57" s="2">
        <v>46120</v>
      </c>
      <c r="D57" s="36" t="s">
        <v>95</v>
      </c>
      <c r="E57" s="4"/>
      <c r="F57" s="4">
        <v>255000</v>
      </c>
      <c r="G57" s="5">
        <f t="shared" si="4"/>
        <v>76349622.88000001</v>
      </c>
    </row>
    <row r="58" spans="2:7" ht="18.75" customHeight="1">
      <c r="B58" s="1">
        <v>52</v>
      </c>
      <c r="C58" s="2">
        <v>46123</v>
      </c>
      <c r="D58" s="28" t="s">
        <v>96</v>
      </c>
      <c r="E58" s="4"/>
      <c r="F58" s="4">
        <v>503000</v>
      </c>
      <c r="G58" s="5">
        <f t="shared" si="4"/>
        <v>75846622.88000001</v>
      </c>
    </row>
    <row r="59" spans="2:7" ht="18.75" customHeight="1">
      <c r="B59" s="1">
        <v>53</v>
      </c>
      <c r="C59" s="2">
        <v>46127</v>
      </c>
      <c r="D59" s="36" t="s">
        <v>97</v>
      </c>
      <c r="E59" s="4"/>
      <c r="F59" s="4">
        <v>49000</v>
      </c>
      <c r="G59" s="5">
        <f t="shared" si="4"/>
        <v>75797622.88000001</v>
      </c>
    </row>
    <row r="60" spans="2:7" ht="18.75" customHeight="1">
      <c r="B60" s="1">
        <v>54</v>
      </c>
      <c r="C60" s="2">
        <v>46127</v>
      </c>
      <c r="D60" s="36" t="s">
        <v>98</v>
      </c>
      <c r="E60" s="4"/>
      <c r="F60" s="4">
        <v>266750</v>
      </c>
      <c r="G60" s="5">
        <f t="shared" si="4"/>
        <v>75530872.88000001</v>
      </c>
    </row>
    <row r="61" spans="2:7" ht="18.75" customHeight="1">
      <c r="B61" s="1">
        <v>55</v>
      </c>
      <c r="C61" s="2">
        <v>46128</v>
      </c>
      <c r="D61" s="36" t="s">
        <v>97</v>
      </c>
      <c r="E61" s="4"/>
      <c r="F61" s="4">
        <v>90000</v>
      </c>
      <c r="G61" s="5">
        <f t="shared" si="4"/>
        <v>75440872.88000001</v>
      </c>
    </row>
    <row r="62" spans="2:7" ht="18.75" customHeight="1">
      <c r="B62" s="1">
        <v>56</v>
      </c>
      <c r="C62" s="2">
        <v>46130</v>
      </c>
      <c r="D62" s="43" t="s">
        <v>99</v>
      </c>
      <c r="E62" s="4"/>
      <c r="F62" s="4">
        <v>1362400</v>
      </c>
      <c r="G62" s="5">
        <f t="shared" si="4"/>
        <v>74078472.88000001</v>
      </c>
    </row>
    <row r="63" spans="2:7" ht="18.75" customHeight="1">
      <c r="B63" s="1">
        <v>57</v>
      </c>
      <c r="C63" s="2">
        <v>46130</v>
      </c>
      <c r="D63" s="32" t="s">
        <v>100</v>
      </c>
      <c r="E63" s="4"/>
      <c r="F63" s="4">
        <v>500000</v>
      </c>
      <c r="G63" s="5">
        <f t="shared" si="4"/>
        <v>73578472.88000001</v>
      </c>
    </row>
    <row r="64" spans="2:7" ht="18.75" customHeight="1">
      <c r="B64" s="1">
        <v>58</v>
      </c>
      <c r="C64" s="2">
        <v>46131</v>
      </c>
      <c r="D64" s="28" t="s">
        <v>96</v>
      </c>
      <c r="E64" s="4"/>
      <c r="F64" s="4">
        <v>298000</v>
      </c>
      <c r="G64" s="5">
        <f t="shared" si="4"/>
        <v>73280472.88000001</v>
      </c>
    </row>
    <row r="65" spans="2:7" ht="18.75" customHeight="1">
      <c r="B65" s="1">
        <v>59</v>
      </c>
      <c r="C65" s="2">
        <v>46132</v>
      </c>
      <c r="D65" s="28" t="s">
        <v>101</v>
      </c>
      <c r="E65" s="4"/>
      <c r="F65" s="4">
        <v>250000</v>
      </c>
      <c r="G65" s="5">
        <f t="shared" si="4"/>
        <v>73030472.88000001</v>
      </c>
    </row>
    <row r="66" spans="2:7" ht="18.75" customHeight="1">
      <c r="B66" s="1">
        <v>60</v>
      </c>
      <c r="C66" s="2">
        <v>46132</v>
      </c>
      <c r="D66" s="36" t="s">
        <v>102</v>
      </c>
      <c r="E66" s="4"/>
      <c r="F66" s="4">
        <v>275550</v>
      </c>
      <c r="G66" s="5">
        <f t="shared" si="4"/>
        <v>72754922.88000001</v>
      </c>
    </row>
    <row r="67" spans="2:7" ht="18.75" customHeight="1">
      <c r="B67" s="1">
        <v>61</v>
      </c>
      <c r="C67" s="2">
        <v>46133</v>
      </c>
      <c r="D67" s="28" t="s">
        <v>103</v>
      </c>
      <c r="E67" s="4"/>
      <c r="F67" s="4">
        <v>100000</v>
      </c>
      <c r="G67" s="5">
        <f t="shared" si="4"/>
        <v>72654922.88000001</v>
      </c>
    </row>
    <row r="68" spans="2:7" ht="18.75" customHeight="1">
      <c r="B68" s="1">
        <v>62</v>
      </c>
      <c r="C68" s="2">
        <v>46133</v>
      </c>
      <c r="D68" s="31" t="s">
        <v>58</v>
      </c>
      <c r="E68" s="4"/>
      <c r="F68" s="4">
        <v>10000</v>
      </c>
      <c r="G68" s="5">
        <f t="shared" si="4"/>
        <v>72644922.88000001</v>
      </c>
    </row>
    <row r="69" spans="2:7" ht="18.75" customHeight="1">
      <c r="B69" s="1">
        <v>63</v>
      </c>
      <c r="C69" s="2">
        <v>46134</v>
      </c>
      <c r="D69" s="36" t="s">
        <v>102</v>
      </c>
      <c r="E69" s="4"/>
      <c r="F69" s="4">
        <v>151250</v>
      </c>
      <c r="G69" s="5">
        <f t="shared" si="4"/>
        <v>72493672.88000001</v>
      </c>
    </row>
    <row r="70" spans="2:7" ht="18.75" customHeight="1">
      <c r="B70" s="1">
        <v>64</v>
      </c>
      <c r="C70" s="2">
        <v>46134</v>
      </c>
      <c r="D70" s="36" t="s">
        <v>104</v>
      </c>
      <c r="E70" s="4"/>
      <c r="F70" s="4">
        <v>47600</v>
      </c>
      <c r="G70" s="5">
        <f t="shared" si="4"/>
        <v>72446072.88000001</v>
      </c>
    </row>
    <row r="71" spans="2:7" ht="18.75" customHeight="1">
      <c r="B71" s="1">
        <v>65</v>
      </c>
      <c r="C71" s="2">
        <v>46134</v>
      </c>
      <c r="D71" s="36" t="s">
        <v>105</v>
      </c>
      <c r="E71" s="4"/>
      <c r="F71" s="4">
        <v>81000</v>
      </c>
      <c r="G71" s="5">
        <f>G70-F71</f>
        <v>72365072.88000001</v>
      </c>
    </row>
    <row r="72" spans="2:7" ht="18.75" customHeight="1">
      <c r="B72" s="1">
        <v>66</v>
      </c>
      <c r="C72" s="2">
        <v>46135</v>
      </c>
      <c r="D72" s="28" t="s">
        <v>106</v>
      </c>
      <c r="E72" s="4"/>
      <c r="F72" s="4">
        <v>300000</v>
      </c>
      <c r="G72" s="5">
        <f>G71-F72</f>
        <v>72065072.88000001</v>
      </c>
    </row>
    <row r="73" spans="2:7" ht="18.75" customHeight="1">
      <c r="B73" s="1">
        <v>67</v>
      </c>
      <c r="C73" s="2">
        <v>46135</v>
      </c>
      <c r="D73" s="36" t="s">
        <v>107</v>
      </c>
      <c r="E73" s="4"/>
      <c r="F73" s="4">
        <v>238000</v>
      </c>
      <c r="G73" s="5">
        <f>G72-F73</f>
        <v>71827072.88000001</v>
      </c>
    </row>
    <row r="74" spans="2:7" ht="18.75" customHeight="1">
      <c r="B74" s="1">
        <v>68</v>
      </c>
      <c r="C74" s="2">
        <v>46136</v>
      </c>
      <c r="D74" s="28" t="s">
        <v>96</v>
      </c>
      <c r="E74" s="4"/>
      <c r="F74" s="4">
        <v>753000</v>
      </c>
      <c r="G74" s="5">
        <f>G73-F74</f>
        <v>71074072.88000001</v>
      </c>
    </row>
    <row r="75" spans="2:7" ht="18.75" customHeight="1">
      <c r="B75" s="1">
        <v>69</v>
      </c>
      <c r="C75" s="2">
        <v>46137</v>
      </c>
      <c r="D75" s="36" t="s">
        <v>94</v>
      </c>
      <c r="E75" s="4"/>
      <c r="F75" s="4">
        <v>314000</v>
      </c>
      <c r="G75" s="5">
        <f>G74-F75</f>
        <v>70760072.88000001</v>
      </c>
    </row>
    <row r="76" spans="2:7" ht="18.75" customHeight="1">
      <c r="B76" s="1">
        <v>70</v>
      </c>
      <c r="C76" s="2">
        <v>46137</v>
      </c>
      <c r="D76" s="21" t="s">
        <v>108</v>
      </c>
      <c r="E76" s="4"/>
      <c r="F76" s="4">
        <v>5000000</v>
      </c>
      <c r="G76" s="5">
        <f>G75-F76</f>
        <v>65760072.88000001</v>
      </c>
    </row>
    <row r="77" spans="2:7" ht="18.75" customHeight="1">
      <c r="B77" s="1">
        <v>71</v>
      </c>
      <c r="C77" s="2">
        <v>46137</v>
      </c>
      <c r="D77" s="21" t="s">
        <v>109</v>
      </c>
      <c r="E77" s="4"/>
      <c r="F77" s="4">
        <v>5000000</v>
      </c>
      <c r="G77" s="5">
        <f>G76-F77</f>
        <v>60760072.88000001</v>
      </c>
    </row>
    <row r="78" spans="2:7" ht="18.75" customHeight="1">
      <c r="B78" s="1">
        <v>72</v>
      </c>
      <c r="C78" s="2">
        <v>46139</v>
      </c>
      <c r="D78" s="28" t="s">
        <v>110</v>
      </c>
      <c r="E78" s="4"/>
      <c r="F78" s="4">
        <v>188500</v>
      </c>
      <c r="G78" s="5">
        <f>G77-F78</f>
        <v>60571572.88000001</v>
      </c>
    </row>
    <row r="79" spans="2:7" ht="18.75" customHeight="1">
      <c r="B79" s="1">
        <v>73</v>
      </c>
      <c r="C79" s="2">
        <v>46140</v>
      </c>
      <c r="D79" s="36" t="s">
        <v>94</v>
      </c>
      <c r="E79" s="4"/>
      <c r="F79" s="4">
        <v>196000</v>
      </c>
      <c r="G79" s="5">
        <f>G78-F79</f>
        <v>60375572.88000001</v>
      </c>
    </row>
    <row r="80" spans="2:7" ht="18.75" customHeight="1">
      <c r="B80" s="1">
        <v>74</v>
      </c>
      <c r="C80" s="2">
        <v>46140</v>
      </c>
      <c r="D80" s="32" t="s">
        <v>85</v>
      </c>
      <c r="E80" s="4"/>
      <c r="F80" s="4">
        <v>7000000</v>
      </c>
      <c r="G80" s="5">
        <f>G79-F80</f>
        <v>53375572.88000001</v>
      </c>
    </row>
    <row r="81" spans="2:7" ht="18.75" customHeight="1">
      <c r="B81" s="1">
        <v>75</v>
      </c>
      <c r="C81" s="2">
        <v>46140</v>
      </c>
      <c r="D81" s="30" t="s">
        <v>111</v>
      </c>
      <c r="E81" s="4"/>
      <c r="F81" s="4">
        <v>656000</v>
      </c>
      <c r="G81" s="5">
        <f>G80-F81</f>
        <v>52719572.88000001</v>
      </c>
    </row>
    <row r="82" spans="2:7" ht="18.75" customHeight="1">
      <c r="B82" s="1">
        <v>76</v>
      </c>
      <c r="C82" s="2">
        <v>46140</v>
      </c>
      <c r="D82" s="43" t="s">
        <v>112</v>
      </c>
      <c r="E82" s="4"/>
      <c r="F82" s="4">
        <v>587000</v>
      </c>
      <c r="G82" s="5">
        <f>G81-F82</f>
        <v>52132572.88000001</v>
      </c>
    </row>
    <row r="83" spans="2:7" ht="18.75" customHeight="1">
      <c r="B83" s="1">
        <v>77</v>
      </c>
      <c r="C83" s="2">
        <v>46141</v>
      </c>
      <c r="D83" s="12" t="s">
        <v>113</v>
      </c>
      <c r="E83" s="4">
        <f>'TJ House - Tommy Saputra (LT2)'!G53</f>
        <v>22757096</v>
      </c>
      <c r="F83" s="4"/>
      <c r="G83" s="5">
        <f>G82+E83</f>
        <v>74889668.88000001</v>
      </c>
    </row>
    <row r="84" spans="2:7" ht="18.75" customHeight="1">
      <c r="B84" s="1">
        <v>78</v>
      </c>
      <c r="C84" s="2">
        <v>46141</v>
      </c>
      <c r="D84" s="36" t="s">
        <v>114</v>
      </c>
      <c r="E84" s="4"/>
      <c r="F84" s="4">
        <v>38000</v>
      </c>
      <c r="G84" s="5">
        <f>G83-F84</f>
        <v>74851668.88000001</v>
      </c>
    </row>
    <row r="85" spans="2:7" ht="18.75" customHeight="1">
      <c r="B85" s="1">
        <v>79</v>
      </c>
      <c r="C85" s="2">
        <v>46142</v>
      </c>
      <c r="D85" s="30" t="s">
        <v>115</v>
      </c>
      <c r="E85" s="4"/>
      <c r="F85" s="4">
        <v>758000</v>
      </c>
      <c r="G85" s="5">
        <f>G84-F85</f>
        <v>74093668.88000001</v>
      </c>
    </row>
    <row r="86" spans="2:7" ht="18.75" customHeight="1">
      <c r="B86" s="1">
        <v>80</v>
      </c>
      <c r="C86" s="2">
        <v>46142</v>
      </c>
      <c r="D86" s="36" t="s">
        <v>116</v>
      </c>
      <c r="E86" s="4"/>
      <c r="F86" s="4">
        <v>74000</v>
      </c>
      <c r="G86" s="5">
        <f>G85-F86</f>
        <v>74019668.88000001</v>
      </c>
    </row>
    <row r="87" spans="2:7" ht="18.75" customHeight="1">
      <c r="B87" s="1">
        <v>81</v>
      </c>
      <c r="C87" s="2">
        <v>46142</v>
      </c>
      <c r="D87" s="36" t="s">
        <v>117</v>
      </c>
      <c r="E87" s="4"/>
      <c r="F87" s="4">
        <v>77000</v>
      </c>
      <c r="G87" s="5">
        <f>G86-F87</f>
        <v>73942668.88000001</v>
      </c>
    </row>
    <row r="88" spans="2:7" ht="18.75" customHeight="1">
      <c r="B88" s="1">
        <v>82</v>
      </c>
      <c r="C88" s="2">
        <v>46142</v>
      </c>
      <c r="D88" s="12" t="s">
        <v>118</v>
      </c>
      <c r="E88" s="4">
        <f>'RM Kost - Epi Suryadinata'!G126</f>
        <v>122996697</v>
      </c>
      <c r="F88" s="4"/>
      <c r="G88" s="5">
        <f>G87+E88</f>
        <v>196939365.88</v>
      </c>
    </row>
    <row r="89" spans="2:7" ht="18.75" customHeight="1">
      <c r="B89" s="1">
        <v>83</v>
      </c>
      <c r="C89" s="2">
        <v>46142</v>
      </c>
      <c r="D89" s="31" t="s">
        <v>67</v>
      </c>
      <c r="E89" s="4">
        <v>781.75</v>
      </c>
      <c r="F89" s="4"/>
      <c r="G89" s="5">
        <f>G88+E89</f>
        <v>196940147.63</v>
      </c>
    </row>
    <row r="90" spans="2:7" ht="18.75" customHeight="1">
      <c r="B90" s="1">
        <v>84</v>
      </c>
      <c r="C90" s="2">
        <v>46142</v>
      </c>
      <c r="D90" s="31" t="s">
        <v>68</v>
      </c>
      <c r="E90" s="4"/>
      <c r="F90" s="4">
        <v>156.35</v>
      </c>
      <c r="G90" s="5">
        <f>G89-F90</f>
        <v>196939991.28</v>
      </c>
    </row>
    <row r="91" spans="2:7" ht="18.75" customHeight="1">
      <c r="B91" s="1">
        <v>85</v>
      </c>
      <c r="C91" s="2">
        <v>46143</v>
      </c>
      <c r="D91" s="30" t="s">
        <v>115</v>
      </c>
      <c r="E91" s="4"/>
      <c r="F91" s="4">
        <v>140000</v>
      </c>
      <c r="G91" s="5">
        <f>G90-F91</f>
        <v>196799991.28</v>
      </c>
    </row>
    <row r="92" spans="2:7" ht="18.75" customHeight="1">
      <c r="B92" s="1">
        <v>86</v>
      </c>
      <c r="C92" s="2">
        <v>46143</v>
      </c>
      <c r="D92" s="36" t="s">
        <v>119</v>
      </c>
      <c r="E92" s="4"/>
      <c r="F92" s="4">
        <v>31500</v>
      </c>
      <c r="G92" s="5">
        <f>G91-F92</f>
        <v>196768491.28</v>
      </c>
    </row>
    <row r="93" spans="2:7" ht="18.75" customHeight="1">
      <c r="B93" s="1">
        <v>87</v>
      </c>
      <c r="C93" s="2">
        <v>46143</v>
      </c>
      <c r="D93" s="30" t="s">
        <v>120</v>
      </c>
      <c r="E93" s="4"/>
      <c r="F93" s="4">
        <v>4000000</v>
      </c>
      <c r="G93" s="5">
        <f>G92-F93</f>
        <v>192768491.28</v>
      </c>
    </row>
    <row r="94" spans="2:7" ht="18.75" customHeight="1">
      <c r="B94" s="1">
        <v>88</v>
      </c>
      <c r="C94" s="2">
        <v>46143</v>
      </c>
      <c r="D94" s="28" t="s">
        <v>121</v>
      </c>
      <c r="E94" s="4"/>
      <c r="F94" s="4">
        <v>423500</v>
      </c>
      <c r="G94" s="5">
        <f>G93-F94</f>
        <v>192344991.28</v>
      </c>
    </row>
    <row r="95" spans="2:7" ht="18.75" customHeight="1">
      <c r="B95" s="1">
        <v>89</v>
      </c>
      <c r="C95" s="2">
        <v>46143</v>
      </c>
      <c r="D95" s="36" t="s">
        <v>122</v>
      </c>
      <c r="E95" s="4"/>
      <c r="F95" s="4">
        <v>156200</v>
      </c>
      <c r="G95" s="5">
        <f>G94-F95</f>
        <v>192188791.28</v>
      </c>
    </row>
    <row r="96" spans="2:7" ht="18.75" customHeight="1">
      <c r="B96" s="1">
        <v>90</v>
      </c>
      <c r="C96" s="2">
        <v>46143</v>
      </c>
      <c r="D96" s="36" t="s">
        <v>123</v>
      </c>
      <c r="E96" s="4"/>
      <c r="F96" s="4">
        <v>291500</v>
      </c>
      <c r="G96" s="5">
        <f>G95-F96</f>
        <v>191897291.28</v>
      </c>
    </row>
    <row r="97" spans="2:7" ht="18.75" customHeight="1">
      <c r="B97" s="1">
        <v>91</v>
      </c>
      <c r="C97" s="2">
        <v>46145</v>
      </c>
      <c r="D97" s="28" t="s">
        <v>121</v>
      </c>
      <c r="E97" s="4"/>
      <c r="F97" s="4">
        <v>398000</v>
      </c>
      <c r="G97" s="5">
        <f>G96-F97</f>
        <v>191499291.28</v>
      </c>
    </row>
    <row r="98" spans="2:7" ht="18.75" customHeight="1">
      <c r="B98" s="1">
        <v>92</v>
      </c>
      <c r="C98" s="2">
        <v>46146</v>
      </c>
      <c r="D98" s="28" t="s">
        <v>124</v>
      </c>
      <c r="E98" s="4"/>
      <c r="F98" s="4">
        <v>171000</v>
      </c>
      <c r="G98" s="5">
        <f>G97-F98</f>
        <v>191328291.28</v>
      </c>
    </row>
    <row r="99" spans="2:7" ht="18.75" customHeight="1">
      <c r="B99" s="1">
        <v>93</v>
      </c>
      <c r="C99" s="2">
        <v>46149</v>
      </c>
      <c r="D99" s="36" t="s">
        <v>125</v>
      </c>
      <c r="E99" s="4"/>
      <c r="F99" s="4">
        <v>31000</v>
      </c>
      <c r="G99" s="5">
        <f t="shared" ref="G99:G110" si="5">G98-F99</f>
        <v>191297291.28</v>
      </c>
    </row>
    <row r="100" spans="2:7" ht="18.75" customHeight="1">
      <c r="B100" s="1">
        <v>94</v>
      </c>
      <c r="C100" s="2">
        <v>46150</v>
      </c>
      <c r="D100" s="36" t="s">
        <v>126</v>
      </c>
      <c r="E100" s="4"/>
      <c r="F100" s="4">
        <v>50000</v>
      </c>
      <c r="G100" s="5">
        <f t="shared" si="5"/>
        <v>191247291.28</v>
      </c>
    </row>
    <row r="101" spans="2:7" ht="18.75" customHeight="1">
      <c r="B101" s="1">
        <v>95</v>
      </c>
      <c r="C101" s="2">
        <v>46150</v>
      </c>
      <c r="D101" s="36" t="s">
        <v>104</v>
      </c>
      <c r="E101" s="4"/>
      <c r="F101" s="4">
        <v>42000</v>
      </c>
      <c r="G101" s="5">
        <f t="shared" si="5"/>
        <v>191205291.28</v>
      </c>
    </row>
    <row r="102" spans="2:7" ht="18.75" customHeight="1">
      <c r="B102" s="1">
        <v>96</v>
      </c>
      <c r="C102" s="2">
        <v>46150</v>
      </c>
      <c r="D102" s="36" t="s">
        <v>97</v>
      </c>
      <c r="E102" s="4"/>
      <c r="F102" s="4">
        <v>74900</v>
      </c>
      <c r="G102" s="5">
        <f t="shared" si="5"/>
        <v>191130391.28</v>
      </c>
    </row>
    <row r="103" spans="2:7" ht="18.75" customHeight="1">
      <c r="B103" s="1">
        <v>97</v>
      </c>
      <c r="C103" s="2">
        <v>46151</v>
      </c>
      <c r="D103" s="36" t="s">
        <v>127</v>
      </c>
      <c r="E103" s="4"/>
      <c r="F103" s="4">
        <v>232000</v>
      </c>
      <c r="G103" s="5">
        <f t="shared" si="5"/>
        <v>190898391.28</v>
      </c>
    </row>
    <row r="104" spans="2:7" ht="18.75" customHeight="1">
      <c r="B104" s="1">
        <v>98</v>
      </c>
      <c r="C104" s="2">
        <v>46152</v>
      </c>
      <c r="D104" s="28" t="s">
        <v>128</v>
      </c>
      <c r="E104" s="4"/>
      <c r="F104" s="4">
        <v>703000</v>
      </c>
      <c r="G104" s="5">
        <f t="shared" si="5"/>
        <v>190195391.28</v>
      </c>
    </row>
    <row r="105" spans="2:7" ht="18.75" customHeight="1">
      <c r="B105" s="1">
        <v>99</v>
      </c>
      <c r="C105" s="2">
        <v>46152</v>
      </c>
      <c r="D105" s="28" t="s">
        <v>129</v>
      </c>
      <c r="E105" s="4"/>
      <c r="F105" s="4">
        <v>200000</v>
      </c>
      <c r="G105" s="5">
        <f t="shared" si="5"/>
        <v>189995391.28</v>
      </c>
    </row>
    <row r="106" spans="2:7" ht="18.75" customHeight="1">
      <c r="B106" s="1">
        <v>100</v>
      </c>
      <c r="C106" s="2">
        <v>46154</v>
      </c>
      <c r="D106" s="43" t="s">
        <v>130</v>
      </c>
      <c r="E106" s="4"/>
      <c r="F106" s="4">
        <v>809240</v>
      </c>
      <c r="G106" s="5">
        <f t="shared" si="5"/>
        <v>189186151.28</v>
      </c>
    </row>
    <row r="107" spans="2:7" ht="18.75" customHeight="1">
      <c r="B107" s="1">
        <v>101</v>
      </c>
      <c r="C107" s="2">
        <v>46157</v>
      </c>
      <c r="D107" s="28" t="s">
        <v>131</v>
      </c>
      <c r="E107" s="4"/>
      <c r="F107" s="4">
        <v>213000</v>
      </c>
      <c r="G107" s="5">
        <f t="shared" si="5"/>
        <v>188973151.28</v>
      </c>
    </row>
    <row r="108" spans="2:7" ht="18.75" customHeight="1">
      <c r="B108" s="1">
        <v>102</v>
      </c>
      <c r="C108" s="2">
        <v>46157</v>
      </c>
      <c r="D108" s="31" t="s">
        <v>58</v>
      </c>
      <c r="E108" s="4"/>
      <c r="F108" s="4">
        <v>10000</v>
      </c>
      <c r="G108" s="5">
        <f t="shared" si="5"/>
        <v>188963151.28</v>
      </c>
    </row>
    <row r="109" spans="2:7" ht="18.75" customHeight="1">
      <c r="B109" s="1">
        <v>103</v>
      </c>
      <c r="C109" s="2">
        <v>46158</v>
      </c>
      <c r="D109" s="28" t="s">
        <v>96</v>
      </c>
      <c r="E109" s="4"/>
      <c r="F109" s="4">
        <v>235000</v>
      </c>
      <c r="G109" s="5">
        <f t="shared" si="5"/>
        <v>188728151.28</v>
      </c>
    </row>
    <row r="110" spans="2:7" ht="18.75" customHeight="1">
      <c r="B110" s="1">
        <v>104</v>
      </c>
      <c r="C110" s="2">
        <v>46160</v>
      </c>
      <c r="D110" s="36" t="s">
        <v>98</v>
      </c>
      <c r="E110" s="4"/>
      <c r="F110" s="4">
        <v>257400</v>
      </c>
      <c r="G110" s="5">
        <f t="shared" si="5"/>
        <v>188470751.28</v>
      </c>
    </row>
    <row r="111" spans="2:7" ht="18.75" customHeight="1">
      <c r="B111" s="1">
        <v>105</v>
      </c>
      <c r="C111" s="2">
        <v>46160</v>
      </c>
      <c r="D111" s="12" t="s">
        <v>132</v>
      </c>
      <c r="E111" s="4">
        <f>'CR House - Erick'!G22</f>
        <v>6588365</v>
      </c>
      <c r="F111" s="4"/>
      <c r="G111" s="5">
        <f>G110+E111</f>
        <v>195059116.28</v>
      </c>
    </row>
    <row r="112" spans="2:7" ht="18.75" customHeight="1">
      <c r="B112" s="1">
        <v>106</v>
      </c>
      <c r="C112" s="2">
        <v>46160</v>
      </c>
      <c r="D112" s="12" t="s">
        <v>133</v>
      </c>
      <c r="E112" s="4">
        <f>'SJ House - Tria Andika (LT2)'!G54</f>
        <v>19146957</v>
      </c>
      <c r="F112" s="4"/>
      <c r="G112" s="5">
        <f>G111+E112</f>
        <v>214206073.28</v>
      </c>
    </row>
    <row r="113" spans="2:7" ht="18.75" customHeight="1">
      <c r="B113" s="1">
        <v>107</v>
      </c>
      <c r="C113" s="2">
        <v>46161</v>
      </c>
      <c r="D113" s="28" t="s">
        <v>101</v>
      </c>
      <c r="E113" s="4"/>
      <c r="F113" s="4">
        <v>100000</v>
      </c>
      <c r="G113" s="5">
        <f>G112-F113</f>
        <v>214106073.28</v>
      </c>
    </row>
    <row r="114" spans="2:7" ht="18.75" customHeight="1">
      <c r="B114" s="1">
        <v>108</v>
      </c>
      <c r="C114" s="2">
        <v>46162</v>
      </c>
      <c r="D114" s="28" t="s">
        <v>134</v>
      </c>
      <c r="E114" s="4"/>
      <c r="F114" s="4">
        <v>185000</v>
      </c>
      <c r="G114" s="5">
        <f>G113-F114</f>
        <v>213921073.28</v>
      </c>
    </row>
    <row r="115" spans="2:7" ht="18.75" customHeight="1">
      <c r="B115" s="1">
        <v>109</v>
      </c>
      <c r="C115" s="2">
        <v>46165</v>
      </c>
      <c r="D115" s="28" t="s">
        <v>101</v>
      </c>
      <c r="E115" s="4"/>
      <c r="F115" s="4">
        <v>100000</v>
      </c>
      <c r="G115" s="5">
        <f t="shared" ref="G115:G116" si="6">G114-F115</f>
        <v>213821073.28</v>
      </c>
    </row>
    <row r="116" spans="2:7" ht="18.75" customHeight="1">
      <c r="B116" s="1">
        <v>110</v>
      </c>
      <c r="C116" s="2">
        <v>46165</v>
      </c>
      <c r="D116" s="36" t="s">
        <v>98</v>
      </c>
      <c r="E116" s="4"/>
      <c r="F116" s="4">
        <v>334400</v>
      </c>
      <c r="G116" s="5">
        <f>G115-F116</f>
        <v>213486673.28</v>
      </c>
    </row>
    <row r="117" spans="2:7" ht="18.75" customHeight="1">
      <c r="B117" s="1">
        <v>111</v>
      </c>
      <c r="C117" s="2">
        <v>46169</v>
      </c>
      <c r="D117" s="36" t="s">
        <v>94</v>
      </c>
      <c r="E117" s="4"/>
      <c r="F117" s="4">
        <v>48000</v>
      </c>
      <c r="G117" s="5">
        <f>G116-F117</f>
        <v>213438673.28</v>
      </c>
    </row>
    <row r="118" spans="2:7" ht="18.75" customHeight="1">
      <c r="B118" s="1">
        <v>112</v>
      </c>
      <c r="C118" s="2">
        <v>46170</v>
      </c>
      <c r="D118" s="21" t="s">
        <v>135</v>
      </c>
      <c r="E118" s="4"/>
      <c r="F118" s="4">
        <v>5000000</v>
      </c>
      <c r="G118" s="5">
        <f t="shared" ref="G118:G125" si="7">G117-F118</f>
        <v>208438673.28</v>
      </c>
    </row>
    <row r="119" spans="2:7" ht="18.75" customHeight="1">
      <c r="B119" s="1">
        <v>113</v>
      </c>
      <c r="C119" s="2">
        <v>46170</v>
      </c>
      <c r="D119" s="21" t="s">
        <v>136</v>
      </c>
      <c r="E119" s="4"/>
      <c r="F119" s="4">
        <v>5000000</v>
      </c>
      <c r="G119" s="5">
        <f t="shared" si="7"/>
        <v>203438673.28</v>
      </c>
    </row>
    <row r="120" spans="2:7" ht="18.75" customHeight="1">
      <c r="B120" s="1">
        <v>114</v>
      </c>
      <c r="C120" s="2">
        <v>46171</v>
      </c>
      <c r="D120" s="36" t="s">
        <v>137</v>
      </c>
      <c r="E120" s="4"/>
      <c r="F120" s="4">
        <v>1662595</v>
      </c>
      <c r="G120" s="5">
        <f t="shared" si="7"/>
        <v>201776078.28</v>
      </c>
    </row>
    <row r="121" spans="2:7" ht="18.75" customHeight="1">
      <c r="B121" s="1">
        <v>115</v>
      </c>
      <c r="C121" s="2">
        <v>46171</v>
      </c>
      <c r="D121" s="36" t="s">
        <v>138</v>
      </c>
      <c r="E121" s="4"/>
      <c r="F121" s="4">
        <v>167600</v>
      </c>
      <c r="G121" s="5">
        <f t="shared" si="7"/>
        <v>201608478.28</v>
      </c>
    </row>
    <row r="122" spans="2:7" ht="18.75" customHeight="1">
      <c r="B122" s="1">
        <v>116</v>
      </c>
      <c r="C122" s="29">
        <v>46171</v>
      </c>
      <c r="D122" s="49" t="s">
        <v>139</v>
      </c>
      <c r="E122" s="4"/>
      <c r="F122" s="4">
        <v>2399001</v>
      </c>
      <c r="G122" s="5">
        <f t="shared" si="7"/>
        <v>199209477.28</v>
      </c>
    </row>
    <row r="123" spans="2:7" ht="18.75" customHeight="1">
      <c r="B123" s="1">
        <v>117</v>
      </c>
      <c r="C123" s="2">
        <v>46172</v>
      </c>
      <c r="D123" s="28" t="s">
        <v>101</v>
      </c>
      <c r="E123" s="4"/>
      <c r="F123" s="4">
        <v>150000</v>
      </c>
      <c r="G123" s="5">
        <f t="shared" si="7"/>
        <v>199059477.28</v>
      </c>
    </row>
    <row r="124" spans="2:7" ht="18.75" customHeight="1">
      <c r="B124" s="1">
        <v>118</v>
      </c>
      <c r="C124" s="2">
        <v>46172</v>
      </c>
      <c r="D124" s="21" t="s">
        <v>140</v>
      </c>
      <c r="E124" s="4"/>
      <c r="F124" s="4">
        <v>1500000</v>
      </c>
      <c r="G124" s="5">
        <f t="shared" si="7"/>
        <v>197559477.28</v>
      </c>
    </row>
    <row r="125" spans="2:7" ht="18.75" customHeight="1">
      <c r="B125" s="1">
        <v>119</v>
      </c>
      <c r="C125" s="2">
        <v>46173</v>
      </c>
      <c r="D125" s="28" t="s">
        <v>96</v>
      </c>
      <c r="E125" s="4"/>
      <c r="F125" s="4">
        <v>576385</v>
      </c>
      <c r="G125" s="5">
        <f t="shared" si="7"/>
        <v>196983092.28</v>
      </c>
    </row>
    <row r="126" spans="2:7" ht="18.75" customHeight="1">
      <c r="B126" s="1">
        <v>120</v>
      </c>
      <c r="C126" s="2">
        <v>46173</v>
      </c>
      <c r="D126" s="31" t="s">
        <v>67</v>
      </c>
      <c r="E126" s="4">
        <v>6816.72</v>
      </c>
      <c r="F126" s="4"/>
      <c r="G126" s="5">
        <f>G125+E126</f>
        <v>196989909</v>
      </c>
    </row>
    <row r="127" spans="2:7" ht="18.75" customHeight="1">
      <c r="B127" s="1">
        <v>121</v>
      </c>
      <c r="C127" s="2">
        <v>46173</v>
      </c>
      <c r="D127" s="31" t="s">
        <v>68</v>
      </c>
      <c r="E127" s="4"/>
      <c r="F127" s="4">
        <v>1363.34</v>
      </c>
      <c r="G127" s="5">
        <f>G126-F127</f>
        <v>196988545.66</v>
      </c>
    </row>
    <row r="128" spans="2:7" ht="18.75" customHeight="1">
      <c r="B128" s="1">
        <v>122</v>
      </c>
      <c r="C128" s="2">
        <v>46174</v>
      </c>
      <c r="D128" s="31" t="s">
        <v>58</v>
      </c>
      <c r="E128" s="4"/>
      <c r="F128" s="4">
        <v>10000</v>
      </c>
      <c r="G128" s="5">
        <f t="shared" ref="G128:G137" si="8">G127-F128</f>
        <v>196978545.66</v>
      </c>
    </row>
    <row r="129" spans="2:7" ht="18.75" customHeight="1">
      <c r="B129" s="1">
        <v>123</v>
      </c>
      <c r="C129" s="2">
        <v>46174</v>
      </c>
      <c r="D129" s="36" t="s">
        <v>141</v>
      </c>
      <c r="E129" s="4"/>
      <c r="F129" s="4">
        <v>168300</v>
      </c>
      <c r="G129" s="5">
        <f t="shared" si="8"/>
        <v>196810245.66</v>
      </c>
    </row>
    <row r="130" spans="2:7" ht="18.75" customHeight="1">
      <c r="B130" s="1">
        <v>124</v>
      </c>
      <c r="C130" s="2">
        <v>46174</v>
      </c>
      <c r="D130" s="36" t="s">
        <v>97</v>
      </c>
      <c r="E130" s="4"/>
      <c r="F130" s="4">
        <v>80000</v>
      </c>
      <c r="G130" s="5">
        <f t="shared" si="8"/>
        <v>196730245.66</v>
      </c>
    </row>
    <row r="131" spans="2:7" ht="18.75" customHeight="1">
      <c r="B131" s="1">
        <v>125</v>
      </c>
      <c r="C131" s="2">
        <v>46175</v>
      </c>
      <c r="D131" s="36" t="s">
        <v>142</v>
      </c>
      <c r="E131" s="4"/>
      <c r="F131" s="4">
        <v>54000</v>
      </c>
      <c r="G131" s="5">
        <f t="shared" si="8"/>
        <v>196676245.66</v>
      </c>
    </row>
    <row r="132" spans="2:7" ht="18.75" customHeight="1">
      <c r="B132" s="1">
        <v>126</v>
      </c>
      <c r="C132" s="2">
        <v>46176</v>
      </c>
      <c r="D132" s="28" t="s">
        <v>101</v>
      </c>
      <c r="E132" s="4"/>
      <c r="F132" s="4">
        <v>670000</v>
      </c>
      <c r="G132" s="5">
        <f t="shared" si="8"/>
        <v>196006245.66</v>
      </c>
    </row>
    <row r="133" spans="2:7" ht="18.75" customHeight="1">
      <c r="B133" s="1">
        <v>127</v>
      </c>
      <c r="C133" s="2">
        <v>46179</v>
      </c>
      <c r="D133" s="36" t="s">
        <v>104</v>
      </c>
      <c r="E133" s="4"/>
      <c r="F133" s="4">
        <v>38250</v>
      </c>
      <c r="G133" s="5">
        <f t="shared" si="8"/>
        <v>195967995.66</v>
      </c>
    </row>
    <row r="134" spans="2:7" ht="18.75" customHeight="1">
      <c r="B134" s="1">
        <v>128</v>
      </c>
      <c r="C134" s="2">
        <v>46180</v>
      </c>
      <c r="D134" s="42" t="s">
        <v>143</v>
      </c>
      <c r="E134" s="4"/>
      <c r="F134" s="4">
        <v>75000</v>
      </c>
      <c r="G134" s="5">
        <f t="shared" si="8"/>
        <v>195892995.66</v>
      </c>
    </row>
    <row r="135" spans="2:7" ht="18.75" customHeight="1">
      <c r="B135" s="1">
        <v>129</v>
      </c>
      <c r="C135" s="2">
        <v>46181</v>
      </c>
      <c r="D135" s="28" t="s">
        <v>101</v>
      </c>
      <c r="E135" s="4"/>
      <c r="F135" s="4">
        <v>160000</v>
      </c>
      <c r="G135" s="5">
        <f t="shared" si="8"/>
        <v>195732995.66</v>
      </c>
    </row>
    <row r="136" spans="2:7" ht="18.75" customHeight="1">
      <c r="B136" s="1">
        <v>130</v>
      </c>
      <c r="C136" s="2">
        <v>46181</v>
      </c>
      <c r="D136" s="36" t="s">
        <v>144</v>
      </c>
      <c r="E136" s="4"/>
      <c r="F136" s="4">
        <v>1074760</v>
      </c>
      <c r="G136" s="5">
        <f t="shared" si="8"/>
        <v>194658235.66</v>
      </c>
    </row>
    <row r="137" spans="2:7" ht="18.75" customHeight="1">
      <c r="B137" s="1">
        <v>131</v>
      </c>
      <c r="C137" s="2">
        <v>46182</v>
      </c>
      <c r="D137" s="42" t="s">
        <v>143</v>
      </c>
      <c r="E137" s="4"/>
      <c r="F137" s="4">
        <v>150000</v>
      </c>
      <c r="G137" s="5">
        <f t="shared" si="8"/>
        <v>194508235.66</v>
      </c>
    </row>
    <row r="138" spans="2:7" ht="18.75" customHeight="1">
      <c r="B138" s="1">
        <v>132</v>
      </c>
      <c r="C138" s="2">
        <v>46182</v>
      </c>
      <c r="D138" s="12" t="s">
        <v>145</v>
      </c>
      <c r="E138" s="4">
        <f>'DNN Office - Kemayoran'!G205</f>
        <v>64461256</v>
      </c>
      <c r="F138" s="4"/>
      <c r="G138" s="5">
        <f>G137+E138</f>
        <v>258969491.66</v>
      </c>
    </row>
    <row r="139" spans="2:7" ht="18.75" customHeight="1">
      <c r="B139" s="1">
        <v>133</v>
      </c>
      <c r="C139" s="2">
        <v>46182</v>
      </c>
      <c r="D139" s="36" t="s">
        <v>104</v>
      </c>
      <c r="E139" s="4"/>
      <c r="F139" s="4">
        <v>89900</v>
      </c>
      <c r="G139" s="5">
        <f>G138-F139</f>
        <v>258879591.66</v>
      </c>
    </row>
    <row r="140" spans="2:7" ht="18.75" customHeight="1">
      <c r="B140" s="1">
        <v>134</v>
      </c>
      <c r="C140" s="2">
        <v>46182</v>
      </c>
      <c r="D140" s="28" t="s">
        <v>146</v>
      </c>
      <c r="E140" s="4"/>
      <c r="F140" s="4">
        <v>90000</v>
      </c>
      <c r="G140" s="5">
        <f>G139-F140</f>
        <v>258789591.66</v>
      </c>
    </row>
    <row r="141" spans="2:7" ht="18.75" customHeight="1">
      <c r="B141" s="1">
        <v>135</v>
      </c>
      <c r="C141" s="2">
        <v>46182</v>
      </c>
      <c r="D141" s="36" t="s">
        <v>147</v>
      </c>
      <c r="E141" s="4"/>
      <c r="F141" s="4">
        <v>165000</v>
      </c>
      <c r="G141" s="5">
        <f t="shared" ref="G141:G164" si="9">G140-F141</f>
        <v>258624591.66</v>
      </c>
    </row>
    <row r="142" spans="2:7" ht="18.75" customHeight="1">
      <c r="B142" s="1">
        <v>136</v>
      </c>
      <c r="C142" s="2">
        <v>46182</v>
      </c>
      <c r="D142" s="36" t="s">
        <v>148</v>
      </c>
      <c r="E142" s="4"/>
      <c r="F142" s="4">
        <v>75000</v>
      </c>
      <c r="G142" s="5">
        <f t="shared" si="9"/>
        <v>258549591.66</v>
      </c>
    </row>
    <row r="143" spans="2:7" ht="18.75" customHeight="1">
      <c r="B143" s="1">
        <v>137</v>
      </c>
      <c r="C143" s="2">
        <v>46183</v>
      </c>
      <c r="D143" s="36" t="s">
        <v>149</v>
      </c>
      <c r="E143" s="4"/>
      <c r="F143" s="4">
        <v>52000</v>
      </c>
      <c r="G143" s="5">
        <f t="shared" si="9"/>
        <v>258497591.66</v>
      </c>
    </row>
    <row r="144" spans="2:7" ht="18.75" customHeight="1">
      <c r="B144" s="1">
        <v>138</v>
      </c>
      <c r="C144" s="2">
        <v>46183</v>
      </c>
      <c r="D144" s="40" t="s">
        <v>150</v>
      </c>
      <c r="E144" s="4"/>
      <c r="F144" s="4">
        <v>305500</v>
      </c>
      <c r="G144" s="5">
        <f t="shared" si="9"/>
        <v>258192091.66</v>
      </c>
    </row>
    <row r="145" spans="2:7" ht="18.75" customHeight="1">
      <c r="B145" s="1">
        <v>139</v>
      </c>
      <c r="C145" s="2">
        <v>46183</v>
      </c>
      <c r="D145" s="36" t="s">
        <v>151</v>
      </c>
      <c r="E145" s="4"/>
      <c r="F145" s="4">
        <v>97500</v>
      </c>
      <c r="G145" s="5">
        <f t="shared" si="9"/>
        <v>258094591.66</v>
      </c>
    </row>
    <row r="146" spans="2:7" ht="18.75" customHeight="1">
      <c r="B146" s="1">
        <v>140</v>
      </c>
      <c r="C146" s="2">
        <v>46183</v>
      </c>
      <c r="D146" s="30" t="s">
        <v>152</v>
      </c>
      <c r="E146" s="4"/>
      <c r="F146" s="4">
        <v>69000</v>
      </c>
      <c r="G146" s="5">
        <f t="shared" si="9"/>
        <v>258025591.66</v>
      </c>
    </row>
    <row r="147" spans="2:7" ht="18.75" customHeight="1">
      <c r="B147" s="1">
        <v>141</v>
      </c>
      <c r="C147" s="2">
        <v>46184</v>
      </c>
      <c r="D147" s="43" t="s">
        <v>153</v>
      </c>
      <c r="E147" s="4"/>
      <c r="F147" s="4">
        <v>3000000</v>
      </c>
      <c r="G147" s="5">
        <f t="shared" si="9"/>
        <v>255025591.66</v>
      </c>
    </row>
    <row r="148" spans="2:7" ht="18.75" customHeight="1">
      <c r="B148" s="1">
        <v>142</v>
      </c>
      <c r="C148" s="2">
        <v>46184</v>
      </c>
      <c r="D148" s="36" t="s">
        <v>154</v>
      </c>
      <c r="E148" s="4"/>
      <c r="F148" s="4">
        <v>69000</v>
      </c>
      <c r="G148" s="5">
        <f t="shared" si="9"/>
        <v>254956591.66</v>
      </c>
    </row>
    <row r="149" spans="2:7" ht="18.75" customHeight="1">
      <c r="B149" s="1">
        <v>143</v>
      </c>
      <c r="C149" s="2">
        <v>46184</v>
      </c>
      <c r="D149" s="36" t="s">
        <v>94</v>
      </c>
      <c r="E149" s="4"/>
      <c r="F149" s="4">
        <v>102000</v>
      </c>
      <c r="G149" s="5">
        <f t="shared" si="9"/>
        <v>254854591.66</v>
      </c>
    </row>
    <row r="150" spans="2:7" ht="18.75" customHeight="1">
      <c r="B150" s="1">
        <v>144</v>
      </c>
      <c r="C150" s="2">
        <v>46184</v>
      </c>
      <c r="D150" s="28" t="s">
        <v>155</v>
      </c>
      <c r="E150" s="4"/>
      <c r="F150" s="4">
        <v>134470</v>
      </c>
      <c r="G150" s="5">
        <f t="shared" si="9"/>
        <v>254720121.66</v>
      </c>
    </row>
    <row r="151" spans="2:7" ht="18.75" customHeight="1">
      <c r="B151" s="1">
        <v>145</v>
      </c>
      <c r="C151" s="2">
        <v>46184</v>
      </c>
      <c r="D151" s="36" t="s">
        <v>156</v>
      </c>
      <c r="E151" s="4"/>
      <c r="F151" s="4">
        <v>43000</v>
      </c>
      <c r="G151" s="5">
        <f t="shared" si="9"/>
        <v>254677121.66</v>
      </c>
    </row>
    <row r="152" spans="2:7" ht="18.75" customHeight="1">
      <c r="B152" s="1">
        <v>146</v>
      </c>
      <c r="C152" s="2">
        <v>46185</v>
      </c>
      <c r="D152" s="43" t="s">
        <v>157</v>
      </c>
      <c r="E152" s="4"/>
      <c r="F152" s="4">
        <v>160000</v>
      </c>
      <c r="G152" s="5">
        <f t="shared" si="9"/>
        <v>254517121.66</v>
      </c>
    </row>
    <row r="153" spans="2:7" ht="18.75" customHeight="1">
      <c r="B153" s="1">
        <v>147</v>
      </c>
      <c r="C153" s="2">
        <v>46185</v>
      </c>
      <c r="D153" s="36" t="s">
        <v>154</v>
      </c>
      <c r="E153" s="4"/>
      <c r="F153" s="4">
        <v>75200</v>
      </c>
      <c r="G153" s="5">
        <f t="shared" si="9"/>
        <v>254441921.66</v>
      </c>
    </row>
    <row r="154" spans="2:7" ht="18.75" customHeight="1">
      <c r="B154" s="1">
        <v>148</v>
      </c>
      <c r="C154" s="2">
        <v>46185</v>
      </c>
      <c r="D154" s="28" t="s">
        <v>158</v>
      </c>
      <c r="E154" s="4"/>
      <c r="F154" s="4">
        <v>120000</v>
      </c>
      <c r="G154" s="5">
        <f t="shared" si="9"/>
        <v>254321921.66</v>
      </c>
    </row>
    <row r="155" spans="2:7" ht="18.75" customHeight="1">
      <c r="B155" s="1">
        <v>149</v>
      </c>
      <c r="C155" s="2">
        <v>46185</v>
      </c>
      <c r="D155" s="28" t="s">
        <v>159</v>
      </c>
      <c r="E155" s="4"/>
      <c r="F155" s="4">
        <v>50000</v>
      </c>
      <c r="G155" s="5">
        <f t="shared" si="9"/>
        <v>254271921.66</v>
      </c>
    </row>
    <row r="156" spans="2:7" ht="18.75" customHeight="1">
      <c r="B156" s="1">
        <v>150</v>
      </c>
      <c r="C156" s="2">
        <v>46185</v>
      </c>
      <c r="D156" s="36" t="s">
        <v>104</v>
      </c>
      <c r="E156" s="4"/>
      <c r="F156" s="4">
        <v>37000</v>
      </c>
      <c r="G156" s="5">
        <f t="shared" si="9"/>
        <v>254234921.66</v>
      </c>
    </row>
    <row r="157" spans="2:7" ht="18.75" customHeight="1">
      <c r="B157" s="1">
        <v>151</v>
      </c>
      <c r="C157" s="2">
        <v>46185</v>
      </c>
      <c r="D157" s="36" t="s">
        <v>102</v>
      </c>
      <c r="E157" s="4"/>
      <c r="F157" s="4">
        <v>274736</v>
      </c>
      <c r="G157" s="5">
        <f t="shared" si="9"/>
        <v>253960185.66</v>
      </c>
    </row>
    <row r="158" spans="2:7" ht="18.75" customHeight="1">
      <c r="B158" s="1">
        <v>152</v>
      </c>
      <c r="C158" s="2">
        <v>46185</v>
      </c>
      <c r="D158" s="36" t="s">
        <v>160</v>
      </c>
      <c r="E158" s="4"/>
      <c r="F158" s="4">
        <v>48000</v>
      </c>
      <c r="G158" s="5">
        <f t="shared" si="9"/>
        <v>253912185.66</v>
      </c>
    </row>
    <row r="159" spans="2:7" ht="18.75" customHeight="1">
      <c r="B159" s="1">
        <v>153</v>
      </c>
      <c r="C159" s="2">
        <v>46185</v>
      </c>
      <c r="D159" s="28" t="s">
        <v>159</v>
      </c>
      <c r="E159" s="4"/>
      <c r="F159" s="4">
        <v>50000</v>
      </c>
      <c r="G159" s="5">
        <f t="shared" si="9"/>
        <v>253862185.66</v>
      </c>
    </row>
    <row r="160" spans="2:7" ht="18.75" customHeight="1">
      <c r="B160" s="1">
        <v>154</v>
      </c>
      <c r="C160" s="2">
        <v>46185</v>
      </c>
      <c r="D160" s="28" t="s">
        <v>96</v>
      </c>
      <c r="E160" s="4"/>
      <c r="F160" s="4">
        <v>648000</v>
      </c>
      <c r="G160" s="5">
        <f t="shared" si="9"/>
        <v>253214185.66</v>
      </c>
    </row>
    <row r="161" spans="2:7" ht="18.75" customHeight="1">
      <c r="B161" s="1">
        <v>155</v>
      </c>
      <c r="C161" s="2">
        <v>46185</v>
      </c>
      <c r="D161" s="43" t="s">
        <v>161</v>
      </c>
      <c r="E161" s="4"/>
      <c r="F161" s="4">
        <v>35000</v>
      </c>
      <c r="G161" s="5">
        <f t="shared" si="9"/>
        <v>253179185.66</v>
      </c>
    </row>
    <row r="162" spans="2:7" ht="18.75" customHeight="1">
      <c r="B162" s="1">
        <v>156</v>
      </c>
      <c r="C162" s="2">
        <v>46185</v>
      </c>
      <c r="D162" s="28" t="s">
        <v>162</v>
      </c>
      <c r="E162" s="4"/>
      <c r="F162" s="4">
        <v>68000</v>
      </c>
      <c r="G162" s="5">
        <f t="shared" si="9"/>
        <v>253111185.66</v>
      </c>
    </row>
    <row r="163" spans="2:7" ht="18.75" customHeight="1">
      <c r="B163" s="1">
        <v>157</v>
      </c>
      <c r="C163" s="2">
        <v>46185</v>
      </c>
      <c r="D163" s="30" t="s">
        <v>163</v>
      </c>
      <c r="E163" s="4"/>
      <c r="F163" s="4">
        <v>2280000</v>
      </c>
      <c r="G163" s="5">
        <f t="shared" si="9"/>
        <v>250831185.66</v>
      </c>
    </row>
    <row r="164" spans="2:7" ht="18.75" customHeight="1">
      <c r="B164" s="1">
        <v>158</v>
      </c>
      <c r="C164" s="2">
        <v>46185</v>
      </c>
      <c r="D164" s="43" t="s">
        <v>164</v>
      </c>
      <c r="E164" s="4"/>
      <c r="F164" s="4">
        <v>220000</v>
      </c>
      <c r="G164" s="5">
        <f t="shared" si="9"/>
        <v>250611185.66</v>
      </c>
    </row>
    <row r="165" spans="2:7" ht="18.75" customHeight="1">
      <c r="B165" s="1">
        <v>159</v>
      </c>
      <c r="C165" s="2">
        <v>46187</v>
      </c>
      <c r="D165" s="12" t="s">
        <v>165</v>
      </c>
      <c r="E165" s="4">
        <f>'TJ House - Tommy Saputra (T3)'!G67</f>
        <v>21753251</v>
      </c>
      <c r="F165" s="4"/>
      <c r="G165" s="5">
        <f>G164+E165</f>
        <v>272364436.65999997</v>
      </c>
    </row>
    <row r="166" spans="2:7" ht="18.75" customHeight="1">
      <c r="B166" s="1">
        <v>160</v>
      </c>
      <c r="C166" s="2">
        <v>46187</v>
      </c>
      <c r="D166" s="28" t="s">
        <v>101</v>
      </c>
      <c r="E166" s="4"/>
      <c r="F166" s="4">
        <v>200000</v>
      </c>
      <c r="G166" s="5">
        <f>G165-F166</f>
        <v>272164436.65999997</v>
      </c>
    </row>
    <row r="167" spans="2:7" ht="18.75" customHeight="1">
      <c r="B167" s="1">
        <v>161</v>
      </c>
      <c r="C167" s="2">
        <v>46187</v>
      </c>
      <c r="D167" s="30" t="s">
        <v>166</v>
      </c>
      <c r="E167" s="4"/>
      <c r="F167" s="4">
        <v>1040000</v>
      </c>
      <c r="G167" s="5">
        <f>G166-F167</f>
        <v>271124436.65999997</v>
      </c>
    </row>
    <row r="168" spans="2:7" ht="18.75" customHeight="1">
      <c r="B168" s="1">
        <v>162</v>
      </c>
      <c r="C168" s="2">
        <v>46188</v>
      </c>
      <c r="D168" s="43" t="s">
        <v>167</v>
      </c>
      <c r="E168" s="4"/>
      <c r="F168" s="4">
        <v>220000</v>
      </c>
      <c r="G168" s="5">
        <f t="shared" ref="G168:G195" si="10">G167-F168</f>
        <v>270904436.65999997</v>
      </c>
    </row>
    <row r="169" spans="2:7" ht="18.75" customHeight="1">
      <c r="B169" s="1">
        <v>163</v>
      </c>
      <c r="C169" s="2">
        <v>46189</v>
      </c>
      <c r="D169" s="28" t="s">
        <v>168</v>
      </c>
      <c r="E169" s="4"/>
      <c r="F169" s="4">
        <v>50000</v>
      </c>
      <c r="G169" s="5">
        <f t="shared" si="10"/>
        <v>270854436.65999997</v>
      </c>
    </row>
    <row r="170" spans="2:7" ht="18.75" customHeight="1">
      <c r="B170" s="1">
        <v>164</v>
      </c>
      <c r="C170" s="2">
        <v>46189</v>
      </c>
      <c r="D170" s="28" t="s">
        <v>169</v>
      </c>
      <c r="E170" s="4"/>
      <c r="F170" s="4">
        <v>150000</v>
      </c>
      <c r="G170" s="5">
        <f t="shared" si="10"/>
        <v>270704436.65999997</v>
      </c>
    </row>
    <row r="171" spans="2:7" ht="18.75" customHeight="1">
      <c r="B171" s="1">
        <v>165</v>
      </c>
      <c r="C171" s="2">
        <v>46190</v>
      </c>
      <c r="D171" s="36" t="s">
        <v>170</v>
      </c>
      <c r="E171" s="4"/>
      <c r="F171" s="4">
        <v>480500</v>
      </c>
      <c r="G171" s="5">
        <f t="shared" si="10"/>
        <v>270223936.65999997</v>
      </c>
    </row>
    <row r="172" spans="2:7" ht="18.75" customHeight="1">
      <c r="B172" s="1">
        <v>166</v>
      </c>
      <c r="C172" s="2">
        <v>46192</v>
      </c>
      <c r="D172" s="52" t="s">
        <v>171</v>
      </c>
      <c r="E172" s="4"/>
      <c r="F172" s="4">
        <v>4000000</v>
      </c>
      <c r="G172" s="5">
        <f t="shared" si="10"/>
        <v>266223936.65999997</v>
      </c>
    </row>
    <row r="173" spans="2:7" ht="18.75" customHeight="1">
      <c r="B173" s="1">
        <v>167</v>
      </c>
      <c r="C173" s="2">
        <v>46192</v>
      </c>
      <c r="D173" s="28" t="s">
        <v>172</v>
      </c>
      <c r="E173" s="4"/>
      <c r="F173" s="4">
        <v>138000</v>
      </c>
      <c r="G173" s="5">
        <f t="shared" si="10"/>
        <v>266085936.65999997</v>
      </c>
    </row>
    <row r="174" spans="2:7" ht="18.75" customHeight="1">
      <c r="B174" s="1">
        <v>168</v>
      </c>
      <c r="C174" s="2">
        <v>46192</v>
      </c>
      <c r="D174" s="32" t="s">
        <v>173</v>
      </c>
      <c r="E174" s="4"/>
      <c r="F174" s="4">
        <v>10000000</v>
      </c>
      <c r="G174" s="5">
        <f t="shared" si="10"/>
        <v>256085936.65999997</v>
      </c>
    </row>
    <row r="175" spans="2:7" ht="18.75" customHeight="1">
      <c r="B175" s="1">
        <v>169</v>
      </c>
      <c r="C175" s="2">
        <v>46192</v>
      </c>
      <c r="D175" s="36" t="s">
        <v>174</v>
      </c>
      <c r="E175" s="4"/>
      <c r="F175" s="4">
        <v>75000</v>
      </c>
      <c r="G175" s="5">
        <f t="shared" si="10"/>
        <v>256010936.65999997</v>
      </c>
    </row>
    <row r="176" spans="2:7" ht="18.75" customHeight="1">
      <c r="B176" s="1">
        <v>170</v>
      </c>
      <c r="C176" s="2">
        <v>46192</v>
      </c>
      <c r="D176" s="36" t="s">
        <v>102</v>
      </c>
      <c r="E176" s="4"/>
      <c r="F176" s="4">
        <v>314600</v>
      </c>
      <c r="G176" s="5">
        <f t="shared" si="10"/>
        <v>255696336.65999997</v>
      </c>
    </row>
    <row r="177" spans="2:7" ht="18.75" customHeight="1">
      <c r="B177" s="1">
        <v>171</v>
      </c>
      <c r="C177" s="2">
        <v>46192</v>
      </c>
      <c r="D177" s="30" t="s">
        <v>175</v>
      </c>
      <c r="E177" s="4"/>
      <c r="F177" s="4">
        <v>340000</v>
      </c>
      <c r="G177" s="5">
        <f t="shared" si="10"/>
        <v>255356336.65999997</v>
      </c>
    </row>
    <row r="178" spans="2:7" ht="18.75" customHeight="1">
      <c r="B178" s="1">
        <v>172</v>
      </c>
      <c r="C178" s="2">
        <v>46192</v>
      </c>
      <c r="D178" s="30" t="s">
        <v>176</v>
      </c>
      <c r="E178" s="4"/>
      <c r="F178" s="4">
        <v>50000</v>
      </c>
      <c r="G178" s="5">
        <f t="shared" si="10"/>
        <v>255306336.65999997</v>
      </c>
    </row>
    <row r="179" spans="2:7" ht="18.75" customHeight="1">
      <c r="B179" s="1">
        <v>173</v>
      </c>
      <c r="C179" s="2">
        <v>46192</v>
      </c>
      <c r="D179" s="52" t="s">
        <v>177</v>
      </c>
      <c r="E179" s="4"/>
      <c r="F179" s="4">
        <v>20000</v>
      </c>
      <c r="G179" s="5">
        <f t="shared" si="10"/>
        <v>255286336.65999997</v>
      </c>
    </row>
    <row r="180" spans="2:7" ht="18.75" customHeight="1">
      <c r="B180" s="1">
        <v>174</v>
      </c>
      <c r="C180" s="2">
        <v>46192</v>
      </c>
      <c r="D180" s="30" t="s">
        <v>178</v>
      </c>
      <c r="E180" s="4"/>
      <c r="F180" s="4">
        <v>70000</v>
      </c>
      <c r="G180" s="5">
        <f t="shared" si="10"/>
        <v>255216336.65999997</v>
      </c>
    </row>
    <row r="181" spans="2:7" ht="18.75" customHeight="1">
      <c r="B181" s="1">
        <v>175</v>
      </c>
      <c r="C181" s="2">
        <v>46192</v>
      </c>
      <c r="D181" s="28" t="s">
        <v>179</v>
      </c>
      <c r="E181" s="4"/>
      <c r="F181" s="4">
        <v>220000</v>
      </c>
      <c r="G181" s="5">
        <f t="shared" si="10"/>
        <v>254996336.65999997</v>
      </c>
    </row>
    <row r="182" spans="2:7" ht="18.75" customHeight="1">
      <c r="B182" s="1">
        <v>176</v>
      </c>
      <c r="C182" s="2">
        <v>46192</v>
      </c>
      <c r="D182" s="28" t="s">
        <v>180</v>
      </c>
      <c r="E182" s="4"/>
      <c r="F182" s="4">
        <v>164000</v>
      </c>
      <c r="G182" s="5">
        <f t="shared" si="10"/>
        <v>254832336.65999997</v>
      </c>
    </row>
    <row r="183" spans="2:7" ht="18.75" customHeight="1">
      <c r="B183" s="1">
        <v>177</v>
      </c>
      <c r="C183" s="2">
        <v>46192</v>
      </c>
      <c r="D183" s="52" t="s">
        <v>181</v>
      </c>
      <c r="E183" s="4"/>
      <c r="F183" s="4">
        <v>150000</v>
      </c>
      <c r="G183" s="5">
        <f t="shared" si="10"/>
        <v>254682336.65999997</v>
      </c>
    </row>
    <row r="184" spans="2:7" ht="18.75" customHeight="1">
      <c r="B184" s="1">
        <v>178</v>
      </c>
      <c r="C184" s="2">
        <v>46195</v>
      </c>
      <c r="D184" s="28" t="s">
        <v>172</v>
      </c>
      <c r="E184" s="4"/>
      <c r="F184" s="4">
        <v>87500</v>
      </c>
      <c r="G184" s="5">
        <f t="shared" si="10"/>
        <v>254594836.65999997</v>
      </c>
    </row>
    <row r="185" spans="2:7" ht="18.75" customHeight="1">
      <c r="B185" s="1">
        <v>179</v>
      </c>
      <c r="C185" s="2">
        <v>46195</v>
      </c>
      <c r="D185" s="36" t="s">
        <v>104</v>
      </c>
      <c r="E185" s="4"/>
      <c r="F185" s="4">
        <v>57000</v>
      </c>
      <c r="G185" s="5">
        <f t="shared" si="10"/>
        <v>254537836.65999997</v>
      </c>
    </row>
    <row r="186" spans="2:7" ht="18.75" customHeight="1">
      <c r="B186" s="1">
        <v>180</v>
      </c>
      <c r="C186" s="2">
        <v>46195</v>
      </c>
      <c r="D186" s="28" t="s">
        <v>182</v>
      </c>
      <c r="E186" s="4"/>
      <c r="F186" s="4">
        <v>20000</v>
      </c>
      <c r="G186" s="5">
        <f t="shared" si="10"/>
        <v>254517836.65999997</v>
      </c>
    </row>
    <row r="187" spans="2:7" ht="18.75" customHeight="1">
      <c r="B187" s="1">
        <v>181</v>
      </c>
      <c r="C187" s="2">
        <v>46195</v>
      </c>
      <c r="D187" s="28" t="s">
        <v>172</v>
      </c>
      <c r="E187" s="4"/>
      <c r="F187" s="4">
        <v>31000</v>
      </c>
      <c r="G187" s="5">
        <f t="shared" si="10"/>
        <v>254486836.65999997</v>
      </c>
    </row>
    <row r="188" spans="2:7" ht="18.75" customHeight="1">
      <c r="B188" s="1">
        <v>182</v>
      </c>
      <c r="C188" s="2">
        <v>46198</v>
      </c>
      <c r="D188" s="21" t="s">
        <v>183</v>
      </c>
      <c r="E188" s="4"/>
      <c r="F188" s="4">
        <v>7500000</v>
      </c>
      <c r="G188" s="5">
        <f t="shared" si="10"/>
        <v>246986836.65999997</v>
      </c>
    </row>
    <row r="189" spans="2:7" ht="18.75" customHeight="1">
      <c r="B189" s="1">
        <v>183</v>
      </c>
      <c r="C189" s="2">
        <v>46198</v>
      </c>
      <c r="D189" s="21" t="s">
        <v>184</v>
      </c>
      <c r="E189" s="4"/>
      <c r="F189" s="4">
        <v>7500000</v>
      </c>
      <c r="G189" s="5">
        <f t="shared" si="10"/>
        <v>239486836.65999997</v>
      </c>
    </row>
    <row r="190" spans="2:7" ht="18.75" customHeight="1">
      <c r="B190" s="1">
        <v>184</v>
      </c>
      <c r="C190" s="2">
        <v>46200</v>
      </c>
      <c r="D190" s="28" t="s">
        <v>162</v>
      </c>
      <c r="E190" s="4"/>
      <c r="F190" s="4">
        <f>12000+11000</f>
        <v>23000</v>
      </c>
      <c r="G190" s="5">
        <f t="shared" si="10"/>
        <v>239463836.65999997</v>
      </c>
    </row>
    <row r="191" spans="2:7" ht="18.75" customHeight="1">
      <c r="B191" s="1">
        <v>185</v>
      </c>
      <c r="C191" s="2">
        <v>46230</v>
      </c>
      <c r="D191" s="36" t="s">
        <v>185</v>
      </c>
      <c r="E191" s="4"/>
      <c r="F191" s="4">
        <v>244000</v>
      </c>
      <c r="G191" s="5">
        <f t="shared" si="10"/>
        <v>239219836.65999997</v>
      </c>
    </row>
    <row r="192" spans="2:7" ht="18.75" customHeight="1">
      <c r="B192" s="1">
        <v>186</v>
      </c>
      <c r="C192" s="2">
        <v>46202</v>
      </c>
      <c r="D192" s="28" t="s">
        <v>186</v>
      </c>
      <c r="E192" s="4"/>
      <c r="F192" s="4">
        <v>220000</v>
      </c>
      <c r="G192" s="5">
        <f t="shared" si="10"/>
        <v>238999836.65999997</v>
      </c>
    </row>
    <row r="193" spans="2:7" ht="18.75" customHeight="1">
      <c r="B193" s="1">
        <v>187</v>
      </c>
      <c r="C193" s="2">
        <v>46203</v>
      </c>
      <c r="D193" s="28" t="s">
        <v>96</v>
      </c>
      <c r="E193" s="4"/>
      <c r="F193" s="4">
        <v>443000</v>
      </c>
      <c r="G193" s="5">
        <f t="shared" si="10"/>
        <v>238556836.65999997</v>
      </c>
    </row>
    <row r="194" spans="2:7" ht="18.75" customHeight="1">
      <c r="B194" s="1">
        <v>188</v>
      </c>
      <c r="C194" s="2">
        <v>46203</v>
      </c>
      <c r="D194" s="52" t="s">
        <v>187</v>
      </c>
      <c r="E194" s="4"/>
      <c r="F194" s="4">
        <v>150000</v>
      </c>
      <c r="G194" s="5">
        <f t="shared" si="10"/>
        <v>238406836.65999997</v>
      </c>
    </row>
    <row r="195" spans="2:7" ht="18.75" customHeight="1">
      <c r="B195" s="1">
        <v>189</v>
      </c>
      <c r="C195" s="2">
        <v>46203</v>
      </c>
      <c r="D195" s="36" t="s">
        <v>188</v>
      </c>
      <c r="E195" s="4"/>
      <c r="F195" s="4">
        <v>50000</v>
      </c>
      <c r="G195" s="5">
        <f t="shared" si="10"/>
        <v>238356836.65999997</v>
      </c>
    </row>
    <row r="196" spans="2:7" ht="18.75" customHeight="1">
      <c r="B196" s="1">
        <v>190</v>
      </c>
      <c r="C196" s="2">
        <v>46203</v>
      </c>
      <c r="D196" s="31" t="s">
        <v>67</v>
      </c>
      <c r="E196" s="4">
        <v>9811.5499999999993</v>
      </c>
      <c r="F196" s="4"/>
      <c r="G196" s="5">
        <f>G195+E196</f>
        <v>238366648.20999998</v>
      </c>
    </row>
    <row r="197" spans="2:7" ht="18.75" customHeight="1">
      <c r="B197" s="1">
        <v>191</v>
      </c>
      <c r="C197" s="2">
        <v>46203</v>
      </c>
      <c r="D197" s="31" t="s">
        <v>68</v>
      </c>
      <c r="E197" s="4"/>
      <c r="F197" s="4">
        <v>1962.31</v>
      </c>
      <c r="G197" s="5">
        <f>G196-F197</f>
        <v>238364685.89999998</v>
      </c>
    </row>
    <row r="198" spans="2:7" ht="18.75" customHeight="1">
      <c r="B198" s="1">
        <v>192</v>
      </c>
      <c r="C198" s="2">
        <v>46204</v>
      </c>
      <c r="D198" s="28" t="s">
        <v>101</v>
      </c>
      <c r="E198" s="4"/>
      <c r="F198" s="4">
        <f>21000+47000+11000+48000</f>
        <v>127000</v>
      </c>
      <c r="G198" s="5">
        <f t="shared" ref="G198:G209" si="11">G197-F198</f>
        <v>238237685.89999998</v>
      </c>
    </row>
    <row r="199" spans="2:7" ht="18.75" customHeight="1">
      <c r="B199" s="1">
        <v>193</v>
      </c>
      <c r="C199" s="2">
        <v>46204</v>
      </c>
      <c r="D199" s="43" t="s">
        <v>189</v>
      </c>
      <c r="E199" s="4"/>
      <c r="F199" s="4">
        <v>214800</v>
      </c>
      <c r="G199" s="5">
        <f t="shared" si="11"/>
        <v>238022885.89999998</v>
      </c>
    </row>
    <row r="200" spans="2:7" ht="18.75" customHeight="1">
      <c r="B200" s="1">
        <v>194</v>
      </c>
      <c r="C200" s="2">
        <v>46204</v>
      </c>
      <c r="D200" s="21" t="s">
        <v>190</v>
      </c>
      <c r="E200" s="4"/>
      <c r="F200" s="4">
        <v>1500000</v>
      </c>
      <c r="G200" s="5">
        <f t="shared" si="11"/>
        <v>236522885.89999998</v>
      </c>
    </row>
    <row r="201" spans="2:7" ht="18.75" customHeight="1">
      <c r="B201" s="1">
        <v>195</v>
      </c>
      <c r="C201" s="2">
        <v>46204</v>
      </c>
      <c r="D201" s="36" t="s">
        <v>191</v>
      </c>
      <c r="E201" s="4"/>
      <c r="F201" s="4">
        <v>280000</v>
      </c>
      <c r="G201" s="5">
        <f t="shared" si="11"/>
        <v>236242885.89999998</v>
      </c>
    </row>
    <row r="202" spans="2:7" ht="18.75" customHeight="1">
      <c r="B202" s="1">
        <v>196</v>
      </c>
      <c r="C202" s="2">
        <v>46204</v>
      </c>
      <c r="D202" s="28" t="s">
        <v>192</v>
      </c>
      <c r="E202" s="4"/>
      <c r="F202" s="4">
        <v>40000</v>
      </c>
      <c r="G202" s="5">
        <f t="shared" si="11"/>
        <v>236202885.89999998</v>
      </c>
    </row>
    <row r="203" spans="2:7" ht="18.75" customHeight="1">
      <c r="B203" s="1">
        <v>197</v>
      </c>
      <c r="C203" s="2">
        <v>46204</v>
      </c>
      <c r="D203" s="31" t="s">
        <v>58</v>
      </c>
      <c r="E203" s="4"/>
      <c r="F203" s="4">
        <v>10000</v>
      </c>
      <c r="G203" s="5">
        <f t="shared" si="11"/>
        <v>236192885.89999998</v>
      </c>
    </row>
    <row r="204" spans="2:7" ht="18.75" customHeight="1">
      <c r="B204" s="1">
        <v>198</v>
      </c>
      <c r="C204" s="2">
        <v>46205</v>
      </c>
      <c r="D204" s="36" t="s">
        <v>193</v>
      </c>
      <c r="E204" s="4"/>
      <c r="F204" s="4">
        <v>286000</v>
      </c>
      <c r="G204" s="5">
        <f t="shared" si="11"/>
        <v>235906885.89999998</v>
      </c>
    </row>
    <row r="205" spans="2:7" ht="18.75" customHeight="1">
      <c r="B205" s="1">
        <v>199</v>
      </c>
      <c r="C205" s="2">
        <v>46209</v>
      </c>
      <c r="D205" s="36" t="s">
        <v>194</v>
      </c>
      <c r="E205" s="4"/>
      <c r="F205" s="4">
        <v>41100</v>
      </c>
      <c r="G205" s="5">
        <f t="shared" si="11"/>
        <v>235865785.89999998</v>
      </c>
    </row>
    <row r="206" spans="2:7" ht="18.75" customHeight="1">
      <c r="B206" s="1">
        <v>200</v>
      </c>
      <c r="C206" s="2">
        <v>46209</v>
      </c>
      <c r="D206" s="36" t="s">
        <v>195</v>
      </c>
      <c r="E206" s="4"/>
      <c r="F206" s="4">
        <v>335500</v>
      </c>
      <c r="G206" s="5">
        <f t="shared" si="11"/>
        <v>235530285.89999998</v>
      </c>
    </row>
    <row r="207" spans="2:7" ht="18.75" customHeight="1">
      <c r="B207" s="1">
        <v>201</v>
      </c>
      <c r="C207" s="2">
        <v>46209</v>
      </c>
      <c r="D207" s="52" t="s">
        <v>196</v>
      </c>
      <c r="E207" s="4"/>
      <c r="F207" s="4">
        <v>105000</v>
      </c>
      <c r="G207" s="5">
        <f t="shared" si="11"/>
        <v>235425285.89999998</v>
      </c>
    </row>
    <row r="208" spans="2:7" ht="18.75" customHeight="1">
      <c r="B208" s="1">
        <v>202</v>
      </c>
      <c r="C208" s="2">
        <v>46210</v>
      </c>
      <c r="D208" s="28" t="s">
        <v>96</v>
      </c>
      <c r="E208" s="4"/>
      <c r="F208" s="4">
        <v>243500</v>
      </c>
      <c r="G208" s="5">
        <f t="shared" si="11"/>
        <v>235181785.89999998</v>
      </c>
    </row>
    <row r="209" spans="2:7" ht="18.75" customHeight="1">
      <c r="B209" s="1">
        <v>203</v>
      </c>
      <c r="C209" s="2">
        <v>46210</v>
      </c>
      <c r="D209" s="36" t="s">
        <v>194</v>
      </c>
      <c r="E209" s="4"/>
      <c r="F209" s="4">
        <v>50000</v>
      </c>
      <c r="G209" s="5">
        <f t="shared" si="11"/>
        <v>235131785.89999998</v>
      </c>
    </row>
    <row r="210" spans="2:7" ht="18.75" customHeight="1">
      <c r="B210" s="1">
        <v>204</v>
      </c>
      <c r="C210" s="2">
        <v>46210</v>
      </c>
      <c r="D210" s="12" t="s">
        <v>197</v>
      </c>
      <c r="E210" s="4">
        <f>'Kantor Blok SR - Kemayoran'!G14</f>
        <v>2760255</v>
      </c>
      <c r="F210" s="4"/>
      <c r="G210" s="5">
        <f>G209+E210</f>
        <v>237892040.89999998</v>
      </c>
    </row>
    <row r="211" spans="2:7" ht="18.75" customHeight="1">
      <c r="B211" s="1">
        <v>205</v>
      </c>
      <c r="C211" s="2">
        <v>46211</v>
      </c>
      <c r="D211" s="36" t="s">
        <v>198</v>
      </c>
      <c r="E211" s="4"/>
      <c r="F211" s="4">
        <v>248600</v>
      </c>
      <c r="G211" s="5">
        <f>G210-F211</f>
        <v>237643440.89999998</v>
      </c>
    </row>
    <row r="212" spans="2:7" ht="18.75" customHeight="1">
      <c r="B212" s="1">
        <v>206</v>
      </c>
      <c r="C212" s="2">
        <v>46211</v>
      </c>
      <c r="D212" s="36" t="s">
        <v>199</v>
      </c>
      <c r="E212" s="4"/>
      <c r="F212" s="4">
        <v>30000</v>
      </c>
      <c r="G212" s="5">
        <f t="shared" ref="G212:G268" si="12">G211-F212</f>
        <v>237613440.89999998</v>
      </c>
    </row>
    <row r="213" spans="2:7" ht="18.75" customHeight="1">
      <c r="B213" s="1">
        <v>207</v>
      </c>
      <c r="C213" s="2">
        <v>46211</v>
      </c>
      <c r="D213" s="36" t="s">
        <v>200</v>
      </c>
      <c r="E213" s="4"/>
      <c r="F213" s="4">
        <v>72000</v>
      </c>
      <c r="G213" s="5">
        <f t="shared" si="12"/>
        <v>237541440.89999998</v>
      </c>
    </row>
    <row r="214" spans="2:7" ht="18.75" customHeight="1">
      <c r="B214" s="1">
        <v>208</v>
      </c>
      <c r="C214" s="2">
        <v>46212</v>
      </c>
      <c r="D214" s="36" t="s">
        <v>148</v>
      </c>
      <c r="E214" s="4"/>
      <c r="F214" s="4">
        <v>50000</v>
      </c>
      <c r="G214" s="5">
        <f t="shared" si="12"/>
        <v>237491440.89999998</v>
      </c>
    </row>
    <row r="215" spans="2:7" ht="18.75" customHeight="1">
      <c r="B215" s="1">
        <v>209</v>
      </c>
      <c r="C215" s="2">
        <v>46212</v>
      </c>
      <c r="D215" s="36" t="s">
        <v>144</v>
      </c>
      <c r="E215" s="4"/>
      <c r="F215" s="4">
        <v>591149</v>
      </c>
      <c r="G215" s="5">
        <f t="shared" si="12"/>
        <v>236900291.89999998</v>
      </c>
    </row>
    <row r="216" spans="2:7" ht="18.75" customHeight="1">
      <c r="B216" s="1">
        <v>210</v>
      </c>
      <c r="C216" s="2">
        <v>46212</v>
      </c>
      <c r="D216" s="30" t="s">
        <v>201</v>
      </c>
      <c r="E216" s="4"/>
      <c r="F216" s="4">
        <v>5728000</v>
      </c>
      <c r="G216" s="5">
        <f t="shared" si="12"/>
        <v>231172291.89999998</v>
      </c>
    </row>
    <row r="217" spans="2:7" ht="18.75" customHeight="1">
      <c r="B217" s="1">
        <v>211</v>
      </c>
      <c r="C217" s="2">
        <v>46212</v>
      </c>
      <c r="D217" s="28" t="s">
        <v>182</v>
      </c>
      <c r="E217" s="4"/>
      <c r="F217" s="4">
        <v>20000</v>
      </c>
      <c r="G217" s="5">
        <f t="shared" si="12"/>
        <v>231152291.89999998</v>
      </c>
    </row>
    <row r="218" spans="2:7" ht="18.75" customHeight="1">
      <c r="B218" s="1">
        <v>212</v>
      </c>
      <c r="C218" s="2">
        <v>46212</v>
      </c>
      <c r="D218" s="36" t="s">
        <v>154</v>
      </c>
      <c r="E218" s="4"/>
      <c r="F218" s="4">
        <v>33900</v>
      </c>
      <c r="G218" s="5">
        <f t="shared" si="12"/>
        <v>231118391.89999998</v>
      </c>
    </row>
    <row r="219" spans="2:7" ht="18.75" customHeight="1">
      <c r="B219" s="1">
        <v>213</v>
      </c>
      <c r="C219" s="2">
        <v>46213</v>
      </c>
      <c r="D219" s="30" t="s">
        <v>202</v>
      </c>
      <c r="E219" s="4"/>
      <c r="F219" s="4">
        <v>1196000</v>
      </c>
      <c r="G219" s="5">
        <f t="shared" si="12"/>
        <v>229922391.89999998</v>
      </c>
    </row>
    <row r="220" spans="2:7" ht="18.75" customHeight="1">
      <c r="B220" s="1">
        <v>214</v>
      </c>
      <c r="C220" s="2">
        <v>46213</v>
      </c>
      <c r="D220" s="28" t="s">
        <v>101</v>
      </c>
      <c r="E220" s="4"/>
      <c r="F220" s="4">
        <v>100000</v>
      </c>
      <c r="G220" s="5">
        <f t="shared" si="12"/>
        <v>229822391.89999998</v>
      </c>
    </row>
    <row r="221" spans="2:7" ht="18.75" customHeight="1">
      <c r="B221" s="1">
        <v>215</v>
      </c>
      <c r="C221" s="2">
        <v>46213</v>
      </c>
      <c r="D221" s="30" t="s">
        <v>203</v>
      </c>
      <c r="E221" s="4"/>
      <c r="F221" s="4">
        <v>52500</v>
      </c>
      <c r="G221" s="5">
        <f t="shared" si="12"/>
        <v>229769891.89999998</v>
      </c>
    </row>
    <row r="222" spans="2:7" ht="18.75" customHeight="1">
      <c r="B222" s="1">
        <v>216</v>
      </c>
      <c r="C222" s="2">
        <v>46213</v>
      </c>
      <c r="D222" s="36" t="s">
        <v>204</v>
      </c>
      <c r="E222" s="4"/>
      <c r="F222" s="4">
        <v>30000</v>
      </c>
      <c r="G222" s="5">
        <f t="shared" si="12"/>
        <v>229739891.89999998</v>
      </c>
    </row>
    <row r="223" spans="2:7" ht="18.75" customHeight="1">
      <c r="B223" s="1">
        <v>217</v>
      </c>
      <c r="C223" s="2">
        <v>46213</v>
      </c>
      <c r="D223" s="36" t="s">
        <v>97</v>
      </c>
      <c r="E223" s="4"/>
      <c r="F223" s="4">
        <v>35000</v>
      </c>
      <c r="G223" s="5">
        <f t="shared" si="12"/>
        <v>229704891.89999998</v>
      </c>
    </row>
    <row r="224" spans="2:7" ht="18.75" customHeight="1">
      <c r="B224" s="1">
        <v>218</v>
      </c>
      <c r="C224" s="2">
        <v>46213</v>
      </c>
      <c r="D224" s="36" t="s">
        <v>205</v>
      </c>
      <c r="E224" s="4"/>
      <c r="F224" s="4">
        <v>238000</v>
      </c>
      <c r="G224" s="5">
        <f t="shared" si="12"/>
        <v>229466891.89999998</v>
      </c>
    </row>
    <row r="225" spans="2:7" ht="18.75" customHeight="1">
      <c r="B225" s="1">
        <v>219</v>
      </c>
      <c r="C225" s="2">
        <v>46213</v>
      </c>
      <c r="D225" s="36" t="s">
        <v>97</v>
      </c>
      <c r="E225" s="4"/>
      <c r="F225" s="4">
        <v>61000</v>
      </c>
      <c r="G225" s="5">
        <f t="shared" si="12"/>
        <v>229405891.89999998</v>
      </c>
    </row>
    <row r="226" spans="2:7" ht="18.75" customHeight="1">
      <c r="B226" s="1">
        <v>220</v>
      </c>
      <c r="C226" s="2">
        <v>46213</v>
      </c>
      <c r="D226" s="36" t="s">
        <v>156</v>
      </c>
      <c r="E226" s="4"/>
      <c r="F226" s="4">
        <v>66000</v>
      </c>
      <c r="G226" s="5">
        <f t="shared" si="12"/>
        <v>229339891.89999998</v>
      </c>
    </row>
    <row r="227" spans="2:7" ht="18.75" customHeight="1">
      <c r="B227" s="1">
        <v>221</v>
      </c>
      <c r="C227" s="2">
        <v>46213</v>
      </c>
      <c r="D227" s="30" t="s">
        <v>206</v>
      </c>
      <c r="E227" s="4"/>
      <c r="F227" s="4">
        <v>44900</v>
      </c>
      <c r="G227" s="5">
        <f t="shared" si="12"/>
        <v>229294991.89999998</v>
      </c>
    </row>
    <row r="228" spans="2:7" ht="18.75" customHeight="1">
      <c r="B228" s="1">
        <v>222</v>
      </c>
      <c r="C228" s="2">
        <v>46213</v>
      </c>
      <c r="D228" s="30" t="s">
        <v>207</v>
      </c>
      <c r="E228" s="4"/>
      <c r="F228" s="4">
        <v>90000</v>
      </c>
      <c r="G228" s="5">
        <f t="shared" si="12"/>
        <v>229204991.89999998</v>
      </c>
    </row>
    <row r="229" spans="2:7" ht="18.75" customHeight="1">
      <c r="B229" s="1">
        <v>223</v>
      </c>
      <c r="C229" s="2">
        <v>46214</v>
      </c>
      <c r="D229" s="36" t="s">
        <v>208</v>
      </c>
      <c r="E229" s="4"/>
      <c r="F229" s="4">
        <v>52000</v>
      </c>
      <c r="G229" s="5">
        <f t="shared" si="12"/>
        <v>229152991.89999998</v>
      </c>
    </row>
    <row r="230" spans="2:7" ht="18.75" customHeight="1">
      <c r="B230" s="1">
        <v>224</v>
      </c>
      <c r="C230" s="2">
        <v>46214</v>
      </c>
      <c r="D230" s="36" t="s">
        <v>209</v>
      </c>
      <c r="E230" s="4"/>
      <c r="F230" s="4">
        <v>147000</v>
      </c>
      <c r="G230" s="5">
        <f t="shared" si="12"/>
        <v>229005991.89999998</v>
      </c>
    </row>
    <row r="231" spans="2:7" ht="18.75" customHeight="1">
      <c r="B231" s="1">
        <v>225</v>
      </c>
      <c r="C231" s="2">
        <v>46214</v>
      </c>
      <c r="D231" s="30" t="s">
        <v>210</v>
      </c>
      <c r="E231" s="4"/>
      <c r="F231" s="4">
        <v>511000</v>
      </c>
      <c r="G231" s="5">
        <f t="shared" si="12"/>
        <v>228494991.89999998</v>
      </c>
    </row>
    <row r="232" spans="2:7" ht="18.75" customHeight="1">
      <c r="B232" s="1">
        <v>226</v>
      </c>
      <c r="C232" s="2">
        <v>46214</v>
      </c>
      <c r="D232" s="36" t="s">
        <v>194</v>
      </c>
      <c r="E232" s="4"/>
      <c r="F232" s="4">
        <v>82500</v>
      </c>
      <c r="G232" s="5">
        <f t="shared" si="12"/>
        <v>228412491.89999998</v>
      </c>
    </row>
    <row r="233" spans="2:7" ht="18.75" customHeight="1">
      <c r="B233" s="1">
        <v>227</v>
      </c>
      <c r="C233" s="2">
        <v>46214</v>
      </c>
      <c r="D233" s="40" t="s">
        <v>211</v>
      </c>
      <c r="E233" s="4"/>
      <c r="F233" s="4">
        <v>541679</v>
      </c>
      <c r="G233" s="5">
        <f t="shared" si="12"/>
        <v>227870812.89999998</v>
      </c>
    </row>
    <row r="234" spans="2:7" ht="18.75" customHeight="1">
      <c r="B234" s="1">
        <v>228</v>
      </c>
      <c r="C234" s="2">
        <v>46215</v>
      </c>
      <c r="D234" s="30" t="s">
        <v>212</v>
      </c>
      <c r="E234" s="4"/>
      <c r="F234" s="4">
        <v>2000000</v>
      </c>
      <c r="G234" s="5">
        <f t="shared" si="12"/>
        <v>225870812.89999998</v>
      </c>
    </row>
    <row r="235" spans="2:7" ht="18.75" customHeight="1">
      <c r="B235" s="1">
        <v>229</v>
      </c>
      <c r="C235" s="2">
        <v>46215</v>
      </c>
      <c r="D235" s="36" t="s">
        <v>193</v>
      </c>
      <c r="E235" s="4"/>
      <c r="F235" s="4">
        <v>366300</v>
      </c>
      <c r="G235" s="5">
        <f t="shared" si="12"/>
        <v>225504512.89999998</v>
      </c>
    </row>
    <row r="236" spans="2:7" ht="18.75" customHeight="1">
      <c r="B236" s="1">
        <v>230</v>
      </c>
      <c r="C236" s="2">
        <v>46216</v>
      </c>
      <c r="D236" s="28" t="s">
        <v>213</v>
      </c>
      <c r="E236" s="4"/>
      <c r="F236" s="4">
        <v>118000</v>
      </c>
      <c r="G236" s="5">
        <f t="shared" si="12"/>
        <v>225386512.89999998</v>
      </c>
    </row>
    <row r="237" spans="2:7" ht="18.75" customHeight="1">
      <c r="B237" s="1">
        <v>231</v>
      </c>
      <c r="C237" s="2">
        <v>46216</v>
      </c>
      <c r="D237" s="30" t="s">
        <v>202</v>
      </c>
      <c r="E237" s="4"/>
      <c r="F237" s="4">
        <v>2023000</v>
      </c>
      <c r="G237" s="5">
        <f t="shared" si="12"/>
        <v>223363512.89999998</v>
      </c>
    </row>
    <row r="238" spans="2:7" ht="18.75" customHeight="1">
      <c r="B238" s="1">
        <v>232</v>
      </c>
      <c r="C238" s="2">
        <v>46216</v>
      </c>
      <c r="D238" s="30" t="s">
        <v>214</v>
      </c>
      <c r="E238" s="4"/>
      <c r="F238" s="4">
        <v>1000000</v>
      </c>
      <c r="G238" s="5">
        <f t="shared" si="12"/>
        <v>222363512.89999998</v>
      </c>
    </row>
    <row r="239" spans="2:7" ht="18.75" customHeight="1">
      <c r="B239" s="1">
        <v>233</v>
      </c>
      <c r="C239" s="2">
        <v>46216</v>
      </c>
      <c r="D239" s="36" t="s">
        <v>215</v>
      </c>
      <c r="E239" s="4"/>
      <c r="F239" s="4">
        <v>425357</v>
      </c>
      <c r="G239" s="5">
        <f t="shared" si="12"/>
        <v>221938155.89999998</v>
      </c>
    </row>
    <row r="240" spans="2:7" ht="18.75" customHeight="1">
      <c r="B240" s="1">
        <v>234</v>
      </c>
      <c r="C240" s="2">
        <v>46216</v>
      </c>
      <c r="D240" s="12" t="s">
        <v>216</v>
      </c>
      <c r="E240" s="4">
        <f>'Dapur Bebek - Bintaro'!G85</f>
        <v>-8884197</v>
      </c>
      <c r="F240" s="4"/>
      <c r="G240" s="5">
        <f>G239+E240</f>
        <v>213053958.89999998</v>
      </c>
    </row>
    <row r="241" spans="2:7" ht="18.75" customHeight="1">
      <c r="B241" s="1">
        <v>235</v>
      </c>
      <c r="C241" s="2">
        <v>46217</v>
      </c>
      <c r="D241" s="52" t="s">
        <v>217</v>
      </c>
      <c r="E241" s="4"/>
      <c r="F241" s="4">
        <v>2002500</v>
      </c>
      <c r="G241" s="5">
        <f t="shared" si="12"/>
        <v>211051458.89999998</v>
      </c>
    </row>
    <row r="242" spans="2:7" ht="18.75" customHeight="1">
      <c r="B242" s="1">
        <v>236</v>
      </c>
      <c r="C242" s="2">
        <v>46217</v>
      </c>
      <c r="D242" s="28" t="s">
        <v>96</v>
      </c>
      <c r="E242" s="4"/>
      <c r="F242" s="4">
        <v>555000</v>
      </c>
      <c r="G242" s="5">
        <f t="shared" si="12"/>
        <v>210496458.89999998</v>
      </c>
    </row>
    <row r="243" spans="2:7" ht="18.75" customHeight="1">
      <c r="B243" s="1">
        <v>237</v>
      </c>
      <c r="C243" s="2">
        <v>46217</v>
      </c>
      <c r="D243" s="36" t="s">
        <v>148</v>
      </c>
      <c r="E243" s="4"/>
      <c r="F243" s="4">
        <v>115000</v>
      </c>
      <c r="G243" s="5">
        <f t="shared" si="12"/>
        <v>210381458.89999998</v>
      </c>
    </row>
    <row r="244" spans="2:7" ht="18.75" customHeight="1">
      <c r="B244" s="1">
        <v>238</v>
      </c>
      <c r="C244" s="2">
        <v>46217</v>
      </c>
      <c r="D244" s="12" t="s">
        <v>218</v>
      </c>
      <c r="E244" s="4">
        <f>'PH House - Bogor'!G87</f>
        <v>122793875</v>
      </c>
      <c r="F244" s="4"/>
      <c r="G244" s="5">
        <f>G243+E244</f>
        <v>333175333.89999998</v>
      </c>
    </row>
    <row r="245" spans="2:7" ht="18.75" customHeight="1">
      <c r="B245" s="1">
        <v>239</v>
      </c>
      <c r="C245" s="2">
        <v>46217</v>
      </c>
      <c r="D245" s="32" t="s">
        <v>85</v>
      </c>
      <c r="E245" s="4"/>
      <c r="F245" s="4">
        <v>5000000</v>
      </c>
      <c r="G245" s="5">
        <f t="shared" si="12"/>
        <v>328175333.89999998</v>
      </c>
    </row>
    <row r="246" spans="2:7" ht="18.75" customHeight="1">
      <c r="B246" s="1">
        <v>240</v>
      </c>
      <c r="C246" s="2">
        <v>46217</v>
      </c>
      <c r="D246" s="30" t="s">
        <v>219</v>
      </c>
      <c r="E246" s="4"/>
      <c r="F246" s="4">
        <v>1000000</v>
      </c>
      <c r="G246" s="5">
        <f t="shared" si="12"/>
        <v>327175333.89999998</v>
      </c>
    </row>
    <row r="247" spans="2:7" ht="18.75" customHeight="1">
      <c r="B247" s="1">
        <v>241</v>
      </c>
      <c r="C247" s="2">
        <v>46218</v>
      </c>
      <c r="D247" s="36" t="s">
        <v>104</v>
      </c>
      <c r="E247" s="4"/>
      <c r="F247" s="4">
        <v>54900</v>
      </c>
      <c r="G247" s="5">
        <f t="shared" si="12"/>
        <v>327120433.89999998</v>
      </c>
    </row>
    <row r="248" spans="2:7" ht="18.75" customHeight="1">
      <c r="B248" s="1">
        <v>242</v>
      </c>
      <c r="C248" s="2">
        <v>46218</v>
      </c>
      <c r="D248" s="52" t="s">
        <v>220</v>
      </c>
      <c r="E248" s="4"/>
      <c r="F248" s="4">
        <v>4000000</v>
      </c>
      <c r="G248" s="5">
        <f t="shared" si="12"/>
        <v>323120433.89999998</v>
      </c>
    </row>
    <row r="249" spans="2:7" ht="18.75" customHeight="1">
      <c r="B249" s="1">
        <v>243</v>
      </c>
      <c r="C249" s="2">
        <v>46218</v>
      </c>
      <c r="D249" s="30" t="s">
        <v>221</v>
      </c>
      <c r="E249" s="4"/>
      <c r="F249" s="4">
        <v>1000000</v>
      </c>
      <c r="G249" s="5">
        <f t="shared" si="12"/>
        <v>322120433.89999998</v>
      </c>
    </row>
    <row r="250" spans="2:7" ht="18.75" customHeight="1">
      <c r="B250" s="1">
        <v>244</v>
      </c>
      <c r="C250" s="2">
        <v>46218</v>
      </c>
      <c r="D250" s="36" t="s">
        <v>97</v>
      </c>
      <c r="E250" s="4"/>
      <c r="F250" s="4">
        <v>100000</v>
      </c>
      <c r="G250" s="5">
        <f t="shared" si="12"/>
        <v>322020433.89999998</v>
      </c>
    </row>
    <row r="251" spans="2:7" ht="18.75" customHeight="1">
      <c r="B251" s="1">
        <v>245</v>
      </c>
      <c r="C251" s="2">
        <v>46218</v>
      </c>
      <c r="D251" s="36" t="s">
        <v>222</v>
      </c>
      <c r="E251" s="4"/>
      <c r="F251" s="4">
        <v>69000</v>
      </c>
      <c r="G251" s="5">
        <f t="shared" si="12"/>
        <v>321951433.89999998</v>
      </c>
    </row>
    <row r="252" spans="2:7" ht="18.75" customHeight="1">
      <c r="B252" s="1">
        <v>246</v>
      </c>
      <c r="C252" s="2">
        <v>46218</v>
      </c>
      <c r="D252" s="32" t="s">
        <v>223</v>
      </c>
      <c r="E252" s="4"/>
      <c r="F252" s="4">
        <v>370000</v>
      </c>
      <c r="G252" s="5">
        <f t="shared" si="12"/>
        <v>321581433.89999998</v>
      </c>
    </row>
    <row r="253" spans="2:7" ht="18.75" customHeight="1">
      <c r="B253" s="1">
        <v>247</v>
      </c>
      <c r="C253" s="2">
        <v>46218</v>
      </c>
      <c r="D253" s="30" t="s">
        <v>224</v>
      </c>
      <c r="E253" s="4"/>
      <c r="F253" s="4">
        <v>1100000</v>
      </c>
      <c r="G253" s="5">
        <f t="shared" si="12"/>
        <v>320481433.89999998</v>
      </c>
    </row>
    <row r="254" spans="2:7" ht="18.75" customHeight="1">
      <c r="B254" s="1">
        <v>248</v>
      </c>
      <c r="C254" s="2">
        <v>46219</v>
      </c>
      <c r="D254" s="36" t="s">
        <v>225</v>
      </c>
      <c r="E254" s="4"/>
      <c r="F254" s="4">
        <v>63900</v>
      </c>
      <c r="G254" s="5">
        <f t="shared" si="12"/>
        <v>320417533.89999998</v>
      </c>
    </row>
    <row r="255" spans="2:7" ht="18.75" customHeight="1">
      <c r="B255" s="1">
        <v>249</v>
      </c>
      <c r="C255" s="2">
        <v>46219</v>
      </c>
      <c r="D255" s="30" t="s">
        <v>226</v>
      </c>
      <c r="E255" s="4"/>
      <c r="F255" s="4">
        <v>114700</v>
      </c>
      <c r="G255" s="5">
        <f t="shared" si="12"/>
        <v>320302833.89999998</v>
      </c>
    </row>
    <row r="256" spans="2:7" ht="18.75" customHeight="1">
      <c r="B256" s="1">
        <v>250</v>
      </c>
      <c r="C256" s="2">
        <v>46219</v>
      </c>
      <c r="D256" s="28" t="s">
        <v>227</v>
      </c>
      <c r="E256" s="4"/>
      <c r="F256" s="4">
        <v>150000</v>
      </c>
      <c r="G256" s="5">
        <f t="shared" si="12"/>
        <v>320152833.89999998</v>
      </c>
    </row>
    <row r="257" spans="2:7" ht="18.75" customHeight="1">
      <c r="B257" s="1">
        <v>251</v>
      </c>
      <c r="C257" s="2">
        <v>46219</v>
      </c>
      <c r="D257" s="28" t="s">
        <v>182</v>
      </c>
      <c r="E257" s="4"/>
      <c r="F257" s="4">
        <v>26000</v>
      </c>
      <c r="G257" s="5">
        <f t="shared" si="12"/>
        <v>320126833.89999998</v>
      </c>
    </row>
    <row r="258" spans="2:7" ht="18.75" customHeight="1">
      <c r="B258" s="1">
        <v>252</v>
      </c>
      <c r="C258" s="2">
        <v>46219</v>
      </c>
      <c r="D258" s="28" t="s">
        <v>129</v>
      </c>
      <c r="E258" s="4"/>
      <c r="F258" s="4">
        <v>61590</v>
      </c>
      <c r="G258" s="5">
        <f t="shared" si="12"/>
        <v>320065243.89999998</v>
      </c>
    </row>
    <row r="259" spans="2:7" ht="18.75" customHeight="1">
      <c r="B259" s="1">
        <v>253</v>
      </c>
      <c r="C259" s="2">
        <v>46221</v>
      </c>
      <c r="D259" s="52" t="s">
        <v>228</v>
      </c>
      <c r="E259" s="4"/>
      <c r="F259" s="4">
        <v>1250000</v>
      </c>
      <c r="G259" s="5">
        <f t="shared" si="12"/>
        <v>318815243.89999998</v>
      </c>
    </row>
    <row r="260" spans="2:7" ht="18.75" customHeight="1">
      <c r="B260" s="1">
        <v>254</v>
      </c>
      <c r="C260" s="2">
        <v>46221</v>
      </c>
      <c r="D260" s="30" t="s">
        <v>221</v>
      </c>
      <c r="E260" s="4"/>
      <c r="F260" s="4">
        <v>2500000</v>
      </c>
      <c r="G260" s="5">
        <f t="shared" si="12"/>
        <v>316315243.89999998</v>
      </c>
    </row>
    <row r="261" spans="2:7" ht="18.75" customHeight="1">
      <c r="B261" s="1">
        <v>255</v>
      </c>
      <c r="C261" s="2">
        <v>46221</v>
      </c>
      <c r="D261" s="52" t="s">
        <v>229</v>
      </c>
      <c r="E261" s="4"/>
      <c r="F261" s="4">
        <v>250000</v>
      </c>
      <c r="G261" s="5">
        <f t="shared" si="12"/>
        <v>316065243.89999998</v>
      </c>
    </row>
    <row r="262" spans="2:7" ht="18.75" customHeight="1">
      <c r="B262" s="1">
        <v>256</v>
      </c>
      <c r="C262" s="2">
        <v>46221</v>
      </c>
      <c r="D262" s="52" t="s">
        <v>230</v>
      </c>
      <c r="E262" s="4"/>
      <c r="F262" s="4">
        <v>4000000</v>
      </c>
      <c r="G262" s="5">
        <f t="shared" si="12"/>
        <v>312065243.89999998</v>
      </c>
    </row>
    <row r="263" spans="2:7" ht="18.75" customHeight="1">
      <c r="B263" s="1">
        <v>257</v>
      </c>
      <c r="C263" s="2">
        <v>46223</v>
      </c>
      <c r="D263" s="36" t="s">
        <v>148</v>
      </c>
      <c r="E263" s="4"/>
      <c r="F263" s="4">
        <v>100000</v>
      </c>
      <c r="G263" s="5">
        <f t="shared" si="12"/>
        <v>311965243.89999998</v>
      </c>
    </row>
    <row r="264" spans="2:7" ht="18.75" customHeight="1">
      <c r="B264" s="1">
        <v>258</v>
      </c>
      <c r="C264" s="2">
        <v>46223</v>
      </c>
      <c r="D264" s="52" t="s">
        <v>231</v>
      </c>
      <c r="E264" s="4"/>
      <c r="F264" s="4">
        <v>1905000</v>
      </c>
      <c r="G264" s="5">
        <f t="shared" si="12"/>
        <v>310060243.89999998</v>
      </c>
    </row>
    <row r="265" spans="2:7" ht="18.75" customHeight="1">
      <c r="B265" s="1">
        <v>259</v>
      </c>
      <c r="C265" s="2">
        <v>46223</v>
      </c>
      <c r="D265" s="36" t="s">
        <v>232</v>
      </c>
      <c r="E265" s="4"/>
      <c r="F265" s="4">
        <v>411500</v>
      </c>
      <c r="G265" s="5">
        <f t="shared" si="12"/>
        <v>309648743.89999998</v>
      </c>
    </row>
    <row r="266" spans="2:7" ht="18.75" customHeight="1">
      <c r="B266" s="1">
        <v>260</v>
      </c>
      <c r="C266" s="2">
        <v>46223</v>
      </c>
      <c r="D266" s="36" t="s">
        <v>233</v>
      </c>
      <c r="E266" s="4"/>
      <c r="F266" s="4">
        <v>158000</v>
      </c>
      <c r="G266" s="5">
        <f t="shared" si="12"/>
        <v>309490743.89999998</v>
      </c>
    </row>
    <row r="267" spans="2:7" ht="18.75" customHeight="1">
      <c r="B267" s="1">
        <v>261</v>
      </c>
      <c r="C267" s="2">
        <v>46223</v>
      </c>
      <c r="D267" s="36" t="s">
        <v>234</v>
      </c>
      <c r="E267" s="4"/>
      <c r="F267" s="4">
        <v>111000</v>
      </c>
      <c r="G267" s="5">
        <f t="shared" si="12"/>
        <v>309379743.89999998</v>
      </c>
    </row>
    <row r="268" spans="2:7" ht="18.75" customHeight="1">
      <c r="B268" s="1">
        <v>262</v>
      </c>
      <c r="C268" s="2">
        <v>46224</v>
      </c>
      <c r="D268" s="36" t="s">
        <v>97</v>
      </c>
      <c r="E268" s="4"/>
      <c r="F268" s="4">
        <v>42600</v>
      </c>
      <c r="G268" s="5">
        <f t="shared" si="12"/>
        <v>309337143.89999998</v>
      </c>
    </row>
    <row r="269" spans="2:7" ht="18.75" customHeight="1">
      <c r="B269" s="1">
        <v>263</v>
      </c>
      <c r="C269" s="2">
        <v>46224</v>
      </c>
      <c r="D269" s="12" t="s">
        <v>235</v>
      </c>
      <c r="E269" s="4">
        <f>'SJ House - Tria Andika (LT 3)'!G44</f>
        <v>3806476</v>
      </c>
      <c r="F269" s="4"/>
      <c r="G269" s="5">
        <f>G268+E269</f>
        <v>313143619.89999998</v>
      </c>
    </row>
    <row r="270" spans="2:7" ht="18.75" customHeight="1">
      <c r="B270" s="1">
        <v>264</v>
      </c>
      <c r="C270" s="2">
        <v>46224</v>
      </c>
      <c r="D270" s="28" t="s">
        <v>101</v>
      </c>
      <c r="E270" s="4"/>
      <c r="F270" s="4">
        <v>263400</v>
      </c>
      <c r="G270" s="5">
        <f>G269-F270</f>
        <v>312880219.89999998</v>
      </c>
    </row>
    <row r="271" spans="2:7" ht="18.75" customHeight="1">
      <c r="B271" s="1">
        <v>265</v>
      </c>
      <c r="C271" s="2">
        <v>46224</v>
      </c>
      <c r="D271" s="36" t="s">
        <v>236</v>
      </c>
      <c r="E271" s="4"/>
      <c r="F271" s="4">
        <v>92000</v>
      </c>
      <c r="G271" s="5">
        <f>G270-F271</f>
        <v>312788219.89999998</v>
      </c>
    </row>
    <row r="272" spans="2:7" ht="18.75" customHeight="1">
      <c r="B272" s="1">
        <v>266</v>
      </c>
      <c r="C272" s="2">
        <v>46224</v>
      </c>
      <c r="D272" s="36" t="s">
        <v>104</v>
      </c>
      <c r="E272" s="4"/>
      <c r="F272" s="4">
        <v>77000</v>
      </c>
      <c r="G272" s="5">
        <f>G271-F272</f>
        <v>312711219.89999998</v>
      </c>
    </row>
    <row r="273" spans="2:7" ht="18.75" customHeight="1">
      <c r="B273" s="1">
        <v>267</v>
      </c>
      <c r="C273" s="2">
        <v>46224</v>
      </c>
      <c r="D273" s="30" t="s">
        <v>221</v>
      </c>
      <c r="E273" s="4"/>
      <c r="F273" s="4">
        <v>1000000</v>
      </c>
      <c r="G273" s="5">
        <f>G272-F273</f>
        <v>311711219.89999998</v>
      </c>
    </row>
    <row r="274" spans="2:7" ht="18.75" customHeight="1">
      <c r="B274" s="1">
        <v>268</v>
      </c>
      <c r="C274" s="2">
        <v>46225</v>
      </c>
      <c r="D274" s="52" t="s">
        <v>237</v>
      </c>
      <c r="E274" s="4"/>
      <c r="F274" s="4">
        <v>717000</v>
      </c>
      <c r="G274" s="5">
        <f>G273-F274</f>
        <v>310994219.89999998</v>
      </c>
    </row>
    <row r="275" spans="2:7" ht="18.75" customHeight="1">
      <c r="B275" s="1">
        <v>269</v>
      </c>
      <c r="C275" s="2">
        <v>46225</v>
      </c>
      <c r="D275" s="36" t="s">
        <v>236</v>
      </c>
      <c r="E275" s="4"/>
      <c r="F275" s="4">
        <v>83000</v>
      </c>
      <c r="G275" s="5">
        <f>G274-F275</f>
        <v>310911219.89999998</v>
      </c>
    </row>
    <row r="276" spans="2:7" ht="18.75" customHeight="1">
      <c r="B276" s="1">
        <v>270</v>
      </c>
      <c r="C276" s="2">
        <v>46225</v>
      </c>
      <c r="D276" s="36" t="s">
        <v>154</v>
      </c>
      <c r="E276" s="4"/>
      <c r="F276" s="4">
        <v>36000</v>
      </c>
      <c r="G276" s="5">
        <f>G275-F276</f>
        <v>310875219.89999998</v>
      </c>
    </row>
    <row r="277" spans="2:7" ht="18.75" customHeight="1">
      <c r="B277" s="1">
        <v>271</v>
      </c>
      <c r="C277" s="2">
        <v>46225</v>
      </c>
      <c r="D277" s="36" t="s">
        <v>104</v>
      </c>
      <c r="E277" s="4"/>
      <c r="F277" s="4">
        <v>60000</v>
      </c>
      <c r="G277" s="5">
        <f>G276-F277</f>
        <v>310815219.89999998</v>
      </c>
    </row>
    <row r="278" spans="2:7" ht="18.75" customHeight="1">
      <c r="B278" s="1">
        <v>272</v>
      </c>
      <c r="C278" s="2">
        <v>46225</v>
      </c>
      <c r="D278" s="52" t="s">
        <v>238</v>
      </c>
      <c r="E278" s="4"/>
      <c r="F278" s="4">
        <v>502500</v>
      </c>
      <c r="G278" s="5">
        <f>G277-F278</f>
        <v>310312719.89999998</v>
      </c>
    </row>
    <row r="279" spans="2:7" ht="18.75" customHeight="1">
      <c r="B279" s="1">
        <v>273</v>
      </c>
      <c r="C279" s="2">
        <v>46226</v>
      </c>
      <c r="D279" s="36" t="s">
        <v>239</v>
      </c>
      <c r="E279" s="4"/>
      <c r="F279" s="4">
        <v>49000</v>
      </c>
      <c r="G279" s="5">
        <f t="shared" ref="G279:G309" si="13">G278-F279</f>
        <v>310263719.89999998</v>
      </c>
    </row>
    <row r="280" spans="2:7" ht="18.75" customHeight="1">
      <c r="B280" s="1">
        <v>274</v>
      </c>
      <c r="C280" s="2">
        <v>46226</v>
      </c>
      <c r="D280" s="36" t="s">
        <v>240</v>
      </c>
      <c r="E280" s="4"/>
      <c r="F280" s="4">
        <v>37000</v>
      </c>
      <c r="G280" s="5">
        <f t="shared" si="13"/>
        <v>310226719.89999998</v>
      </c>
    </row>
    <row r="281" spans="2:7" ht="18.75" customHeight="1">
      <c r="B281" s="1">
        <v>275</v>
      </c>
      <c r="C281" s="2">
        <v>46226</v>
      </c>
      <c r="D281" s="36" t="s">
        <v>241</v>
      </c>
      <c r="E281" s="4"/>
      <c r="F281" s="4">
        <v>66000</v>
      </c>
      <c r="G281" s="5">
        <f t="shared" si="13"/>
        <v>310160719.89999998</v>
      </c>
    </row>
    <row r="282" spans="2:7" ht="18.75" customHeight="1">
      <c r="B282" s="1">
        <v>276</v>
      </c>
      <c r="C282" s="2">
        <v>46226</v>
      </c>
      <c r="D282" s="36" t="s">
        <v>148</v>
      </c>
      <c r="E282" s="4"/>
      <c r="F282" s="4">
        <v>50000</v>
      </c>
      <c r="G282" s="5">
        <f t="shared" si="13"/>
        <v>310110719.89999998</v>
      </c>
    </row>
    <row r="283" spans="2:7" ht="18.75" customHeight="1">
      <c r="B283" s="1">
        <v>277</v>
      </c>
      <c r="C283" s="2">
        <v>46226</v>
      </c>
      <c r="D283" s="36" t="s">
        <v>242</v>
      </c>
      <c r="E283" s="4"/>
      <c r="F283" s="4">
        <v>49000</v>
      </c>
      <c r="G283" s="5">
        <f t="shared" si="13"/>
        <v>310061719.89999998</v>
      </c>
    </row>
    <row r="284" spans="2:7" ht="18.75" customHeight="1">
      <c r="B284" s="1">
        <v>278</v>
      </c>
      <c r="C284" s="2">
        <v>46226</v>
      </c>
      <c r="D284" s="32" t="s">
        <v>243</v>
      </c>
      <c r="E284" s="4"/>
      <c r="F284" s="4">
        <v>1500000</v>
      </c>
      <c r="G284" s="5">
        <f t="shared" si="13"/>
        <v>308561719.89999998</v>
      </c>
    </row>
    <row r="285" spans="2:7" ht="18.75" customHeight="1">
      <c r="B285" s="1">
        <v>279</v>
      </c>
      <c r="C285" s="2">
        <v>46226</v>
      </c>
      <c r="D285" s="42" t="s">
        <v>244</v>
      </c>
      <c r="E285" s="4"/>
      <c r="F285" s="4">
        <v>50000</v>
      </c>
      <c r="G285" s="5">
        <f t="shared" si="13"/>
        <v>308511719.89999998</v>
      </c>
    </row>
    <row r="286" spans="2:7" ht="18.75" customHeight="1">
      <c r="B286" s="1">
        <v>280</v>
      </c>
      <c r="C286" s="2">
        <v>46226</v>
      </c>
      <c r="D286" s="36" t="s">
        <v>193</v>
      </c>
      <c r="E286" s="4"/>
      <c r="F286" s="4">
        <v>430100</v>
      </c>
      <c r="G286" s="5">
        <f t="shared" si="13"/>
        <v>308081619.89999998</v>
      </c>
    </row>
    <row r="287" spans="2:7" ht="18.75" customHeight="1">
      <c r="B287" s="1">
        <v>281</v>
      </c>
      <c r="C287" s="2">
        <v>46226</v>
      </c>
      <c r="D287" s="28" t="s">
        <v>245</v>
      </c>
      <c r="E287" s="4"/>
      <c r="F287" s="4">
        <v>22000</v>
      </c>
      <c r="G287" s="5">
        <f t="shared" si="13"/>
        <v>308059619.89999998</v>
      </c>
    </row>
    <row r="288" spans="2:7" ht="18.75" customHeight="1">
      <c r="B288" s="1">
        <v>282</v>
      </c>
      <c r="C288" s="2">
        <v>46227</v>
      </c>
      <c r="D288" s="30" t="s">
        <v>246</v>
      </c>
      <c r="E288" s="4"/>
      <c r="F288" s="4">
        <v>800000</v>
      </c>
      <c r="G288" s="5">
        <f t="shared" si="13"/>
        <v>307259619.89999998</v>
      </c>
    </row>
    <row r="289" spans="2:7" ht="18.75" customHeight="1">
      <c r="B289" s="1">
        <v>283</v>
      </c>
      <c r="C289" s="2">
        <v>46227</v>
      </c>
      <c r="D289" s="28" t="s">
        <v>247</v>
      </c>
      <c r="E289" s="4"/>
      <c r="F289" s="4">
        <v>1022500</v>
      </c>
      <c r="G289" s="5">
        <f t="shared" si="13"/>
        <v>306237119.89999998</v>
      </c>
    </row>
    <row r="290" spans="2:7" ht="18.75" customHeight="1">
      <c r="B290" s="1">
        <v>284</v>
      </c>
      <c r="C290" s="2">
        <v>46227</v>
      </c>
      <c r="D290" s="36" t="s">
        <v>248</v>
      </c>
      <c r="E290" s="4"/>
      <c r="F290" s="4">
        <v>56000</v>
      </c>
      <c r="G290" s="5">
        <f t="shared" si="13"/>
        <v>306181119.89999998</v>
      </c>
    </row>
    <row r="291" spans="2:7" ht="18.75" customHeight="1">
      <c r="B291" s="1">
        <v>285</v>
      </c>
      <c r="C291" s="2">
        <v>46227</v>
      </c>
      <c r="D291" s="30" t="s">
        <v>249</v>
      </c>
      <c r="E291" s="4"/>
      <c r="F291" s="4">
        <v>140000</v>
      </c>
      <c r="G291" s="5">
        <f t="shared" si="13"/>
        <v>306041119.89999998</v>
      </c>
    </row>
    <row r="292" spans="2:7" ht="18.75" customHeight="1">
      <c r="B292" s="1">
        <v>286</v>
      </c>
      <c r="C292" s="2">
        <v>46227</v>
      </c>
      <c r="D292" s="52" t="s">
        <v>196</v>
      </c>
      <c r="E292" s="4"/>
      <c r="F292" s="4">
        <v>50000</v>
      </c>
      <c r="G292" s="5">
        <f t="shared" si="13"/>
        <v>305991119.89999998</v>
      </c>
    </row>
    <row r="293" spans="2:7" ht="18.75" customHeight="1">
      <c r="B293" s="1">
        <v>287</v>
      </c>
      <c r="C293" s="2">
        <v>46227</v>
      </c>
      <c r="D293" s="28" t="s">
        <v>101</v>
      </c>
      <c r="E293" s="4"/>
      <c r="F293" s="4">
        <v>88563</v>
      </c>
      <c r="G293" s="5">
        <f t="shared" si="13"/>
        <v>305902556.89999998</v>
      </c>
    </row>
    <row r="294" spans="2:7" ht="18.75" customHeight="1">
      <c r="B294" s="1">
        <v>289</v>
      </c>
      <c r="C294" s="2">
        <v>46228</v>
      </c>
      <c r="D294" s="21" t="s">
        <v>250</v>
      </c>
      <c r="E294" s="4"/>
      <c r="F294" s="4">
        <v>7500000</v>
      </c>
      <c r="G294" s="5">
        <f t="shared" si="13"/>
        <v>298402556.89999998</v>
      </c>
    </row>
    <row r="295" spans="2:7" ht="18.75" customHeight="1">
      <c r="B295" s="1">
        <v>290</v>
      </c>
      <c r="C295" s="2">
        <v>46228</v>
      </c>
      <c r="D295" s="21" t="s">
        <v>251</v>
      </c>
      <c r="E295" s="4"/>
      <c r="F295" s="4">
        <v>7500000</v>
      </c>
      <c r="G295" s="5">
        <f t="shared" si="13"/>
        <v>290902556.89999998</v>
      </c>
    </row>
    <row r="296" spans="2:7" ht="18.75" customHeight="1">
      <c r="B296" s="1">
        <v>291</v>
      </c>
      <c r="C296" s="2">
        <v>46228</v>
      </c>
      <c r="D296" s="52" t="s">
        <v>252</v>
      </c>
      <c r="E296" s="4"/>
      <c r="F296" s="4">
        <v>1860000</v>
      </c>
      <c r="G296" s="5">
        <f t="shared" si="13"/>
        <v>289042556.89999998</v>
      </c>
    </row>
    <row r="297" spans="2:7" ht="18.75" customHeight="1">
      <c r="B297" s="1">
        <v>292</v>
      </c>
      <c r="C297" s="2">
        <v>46228</v>
      </c>
      <c r="D297" s="36" t="s">
        <v>194</v>
      </c>
      <c r="E297" s="4"/>
      <c r="F297" s="4">
        <v>37000</v>
      </c>
      <c r="G297" s="5">
        <f t="shared" si="13"/>
        <v>289005556.89999998</v>
      </c>
    </row>
    <row r="298" spans="2:7" ht="18.75" customHeight="1">
      <c r="B298" s="1">
        <v>293</v>
      </c>
      <c r="C298" s="2">
        <v>46230</v>
      </c>
      <c r="D298" s="36" t="s">
        <v>232</v>
      </c>
      <c r="E298" s="4"/>
      <c r="F298" s="4">
        <v>355500</v>
      </c>
      <c r="G298" s="5">
        <f t="shared" si="13"/>
        <v>288650056.89999998</v>
      </c>
    </row>
    <row r="299" spans="2:7" ht="18.75" customHeight="1">
      <c r="B299" s="1">
        <v>294</v>
      </c>
      <c r="C299" s="2">
        <v>46230</v>
      </c>
      <c r="D299" s="36" t="s">
        <v>194</v>
      </c>
      <c r="E299" s="4"/>
      <c r="F299" s="4">
        <v>149900</v>
      </c>
      <c r="G299" s="5">
        <f t="shared" si="13"/>
        <v>288500156.89999998</v>
      </c>
    </row>
    <row r="300" spans="2:7" ht="18.75" customHeight="1">
      <c r="B300" s="1">
        <v>295</v>
      </c>
      <c r="C300" s="2">
        <v>46230</v>
      </c>
      <c r="D300" s="52" t="s">
        <v>187</v>
      </c>
      <c r="E300" s="4"/>
      <c r="F300" s="4">
        <v>130000</v>
      </c>
      <c r="G300" s="5">
        <f t="shared" si="13"/>
        <v>288370156.89999998</v>
      </c>
    </row>
    <row r="301" spans="2:7" ht="18.75" customHeight="1">
      <c r="B301" s="1">
        <v>296</v>
      </c>
      <c r="C301" s="2">
        <v>46230</v>
      </c>
      <c r="D301" s="52" t="s">
        <v>253</v>
      </c>
      <c r="E301" s="4"/>
      <c r="F301" s="4">
        <v>411000</v>
      </c>
      <c r="G301" s="5">
        <f t="shared" si="13"/>
        <v>287959156.89999998</v>
      </c>
    </row>
    <row r="302" spans="2:7" ht="18.75" customHeight="1">
      <c r="B302" s="1">
        <v>297</v>
      </c>
      <c r="C302" s="2">
        <v>46230</v>
      </c>
      <c r="D302" s="36" t="s">
        <v>151</v>
      </c>
      <c r="E302" s="4"/>
      <c r="F302" s="4">
        <v>143500</v>
      </c>
      <c r="G302" s="5">
        <f t="shared" si="13"/>
        <v>287815656.89999998</v>
      </c>
    </row>
    <row r="303" spans="2:7" ht="18.75" customHeight="1">
      <c r="B303" s="1">
        <v>298</v>
      </c>
      <c r="C303" s="2">
        <v>46230</v>
      </c>
      <c r="D303" s="40" t="s">
        <v>254</v>
      </c>
      <c r="E303" s="4"/>
      <c r="F303" s="4">
        <v>80000</v>
      </c>
      <c r="G303" s="5">
        <f t="shared" si="13"/>
        <v>287735656.89999998</v>
      </c>
    </row>
    <row r="304" spans="2:7" ht="18.75" customHeight="1">
      <c r="B304" s="1">
        <v>299</v>
      </c>
      <c r="C304" s="2">
        <v>46232</v>
      </c>
      <c r="D304" s="52" t="s">
        <v>255</v>
      </c>
      <c r="E304" s="4"/>
      <c r="F304" s="4">
        <v>121000</v>
      </c>
      <c r="G304" s="5">
        <f t="shared" si="13"/>
        <v>287614656.89999998</v>
      </c>
    </row>
    <row r="305" spans="2:7" ht="18.75" customHeight="1">
      <c r="B305" s="1">
        <v>300</v>
      </c>
      <c r="C305" s="2">
        <v>46233</v>
      </c>
      <c r="D305" s="21" t="s">
        <v>256</v>
      </c>
      <c r="E305" s="4"/>
      <c r="F305" s="4">
        <v>1500000</v>
      </c>
      <c r="G305" s="5">
        <f t="shared" si="13"/>
        <v>286114656.89999998</v>
      </c>
    </row>
    <row r="306" spans="2:7" ht="18.75" customHeight="1">
      <c r="B306" s="1">
        <v>301</v>
      </c>
      <c r="C306" s="2">
        <v>46234</v>
      </c>
      <c r="D306" s="36" t="s">
        <v>242</v>
      </c>
      <c r="E306" s="4"/>
      <c r="F306" s="4">
        <v>21935</v>
      </c>
      <c r="G306" s="5">
        <f t="shared" si="13"/>
        <v>286092721.89999998</v>
      </c>
    </row>
    <row r="307" spans="2:7" ht="18.75" customHeight="1">
      <c r="B307" s="1">
        <v>302</v>
      </c>
      <c r="C307" s="2">
        <v>46234</v>
      </c>
      <c r="D307" s="36" t="s">
        <v>185</v>
      </c>
      <c r="E307" s="4"/>
      <c r="F307" s="4">
        <v>318000</v>
      </c>
      <c r="G307" s="5">
        <f t="shared" si="13"/>
        <v>285774721.89999998</v>
      </c>
    </row>
    <row r="308" spans="2:7" ht="18.75" customHeight="1">
      <c r="B308" s="1">
        <v>303</v>
      </c>
      <c r="C308" s="2">
        <v>46234</v>
      </c>
      <c r="D308" s="52" t="s">
        <v>231</v>
      </c>
      <c r="E308" s="4"/>
      <c r="F308" s="4">
        <v>121000</v>
      </c>
      <c r="G308" s="5">
        <f t="shared" si="13"/>
        <v>285653721.89999998</v>
      </c>
    </row>
    <row r="309" spans="2:7" ht="18.75" customHeight="1">
      <c r="B309" s="1">
        <v>304</v>
      </c>
      <c r="C309" s="2">
        <v>46234</v>
      </c>
      <c r="D309" s="36" t="s">
        <v>148</v>
      </c>
      <c r="E309" s="4"/>
      <c r="F309" s="4">
        <v>100000</v>
      </c>
      <c r="G309" s="5">
        <f t="shared" si="13"/>
        <v>285553721.89999998</v>
      </c>
    </row>
    <row r="310" spans="2:7" ht="18.75" customHeight="1">
      <c r="B310" s="1">
        <v>305</v>
      </c>
      <c r="C310" s="2">
        <v>46234</v>
      </c>
      <c r="D310" s="31" t="s">
        <v>67</v>
      </c>
      <c r="E310" s="4">
        <v>9392.5499999999993</v>
      </c>
      <c r="F310" s="4"/>
      <c r="G310" s="5">
        <f>G309+E310</f>
        <v>285563114.44999999</v>
      </c>
    </row>
    <row r="311" spans="2:7" ht="18.75" customHeight="1">
      <c r="B311" s="1">
        <v>306</v>
      </c>
      <c r="C311" s="2">
        <v>46234</v>
      </c>
      <c r="D311" s="31" t="s">
        <v>68</v>
      </c>
      <c r="E311" s="4"/>
      <c r="F311" s="4">
        <v>1878.51</v>
      </c>
      <c r="G311" s="5">
        <f>G310-F311</f>
        <v>285561235.94</v>
      </c>
    </row>
    <row r="312" spans="2:7" ht="18.75" customHeight="1">
      <c r="B312" s="1">
        <v>307</v>
      </c>
      <c r="C312" s="2">
        <v>46235</v>
      </c>
      <c r="D312" s="28" t="s">
        <v>96</v>
      </c>
      <c r="E312" s="4"/>
      <c r="F312" s="4">
        <v>780000</v>
      </c>
      <c r="G312" s="5">
        <f t="shared" ref="G312:G375" si="14">G311-F312</f>
        <v>284781235.94</v>
      </c>
    </row>
    <row r="313" spans="2:7" ht="18.75" customHeight="1">
      <c r="B313" s="1">
        <v>308</v>
      </c>
      <c r="C313" s="2">
        <v>46235</v>
      </c>
      <c r="D313" s="40" t="s">
        <v>257</v>
      </c>
      <c r="E313" s="4"/>
      <c r="F313" s="4">
        <v>400000</v>
      </c>
      <c r="G313" s="5">
        <f t="shared" si="14"/>
        <v>284381235.94</v>
      </c>
    </row>
    <row r="314" spans="2:7" ht="18.75" customHeight="1">
      <c r="B314" s="1">
        <v>309</v>
      </c>
      <c r="C314" s="2">
        <v>46235</v>
      </c>
      <c r="D314" s="36" t="s">
        <v>193</v>
      </c>
      <c r="E314" s="4"/>
      <c r="F314" s="4">
        <v>369600</v>
      </c>
      <c r="G314" s="5">
        <f t="shared" si="14"/>
        <v>284011635.94</v>
      </c>
    </row>
    <row r="315" spans="2:7" ht="18.75" customHeight="1">
      <c r="B315" s="1">
        <v>310</v>
      </c>
      <c r="C315" s="2">
        <v>46235</v>
      </c>
      <c r="D315" s="36" t="s">
        <v>194</v>
      </c>
      <c r="E315" s="4"/>
      <c r="F315" s="4">
        <v>76500</v>
      </c>
      <c r="G315" s="5">
        <f t="shared" si="14"/>
        <v>283935135.94</v>
      </c>
    </row>
    <row r="316" spans="2:7" ht="18.75" customHeight="1">
      <c r="B316" s="1">
        <v>311</v>
      </c>
      <c r="C316" s="2">
        <v>46237</v>
      </c>
      <c r="D316" s="28" t="s">
        <v>101</v>
      </c>
      <c r="E316" s="4"/>
      <c r="F316" s="4">
        <v>48000</v>
      </c>
      <c r="G316" s="5">
        <f t="shared" si="14"/>
        <v>283887135.94</v>
      </c>
    </row>
    <row r="317" spans="2:7" ht="18.75" customHeight="1">
      <c r="B317" s="1">
        <v>312</v>
      </c>
      <c r="C317" s="2">
        <v>46237</v>
      </c>
      <c r="D317" s="52" t="s">
        <v>258</v>
      </c>
      <c r="E317" s="4"/>
      <c r="F317" s="4">
        <v>100000</v>
      </c>
      <c r="G317" s="5">
        <f t="shared" si="14"/>
        <v>283787135.94</v>
      </c>
    </row>
    <row r="318" spans="2:7" ht="18.75" customHeight="1">
      <c r="B318" s="1">
        <v>313</v>
      </c>
      <c r="C318" s="2">
        <v>46237</v>
      </c>
      <c r="D318" s="31" t="s">
        <v>58</v>
      </c>
      <c r="E318" s="4"/>
      <c r="F318" s="4">
        <v>10000</v>
      </c>
      <c r="G318" s="5">
        <f t="shared" si="14"/>
        <v>283777135.94</v>
      </c>
    </row>
    <row r="319" spans="2:7" ht="18.75" customHeight="1">
      <c r="B319" s="1">
        <v>314</v>
      </c>
      <c r="C319" s="2">
        <v>46240</v>
      </c>
      <c r="D319" s="36" t="s">
        <v>259</v>
      </c>
      <c r="E319" s="4"/>
      <c r="F319" s="4">
        <v>127000</v>
      </c>
      <c r="G319" s="5">
        <f t="shared" si="14"/>
        <v>283650135.94</v>
      </c>
    </row>
    <row r="320" spans="2:7" ht="18.75" customHeight="1">
      <c r="B320" s="1">
        <v>315</v>
      </c>
      <c r="C320" s="2">
        <v>46240</v>
      </c>
      <c r="D320" s="36" t="s">
        <v>260</v>
      </c>
      <c r="E320" s="4"/>
      <c r="F320" s="4">
        <v>150000</v>
      </c>
      <c r="G320" s="5">
        <f t="shared" si="14"/>
        <v>283500135.94</v>
      </c>
    </row>
    <row r="321" spans="2:7" ht="18.75" customHeight="1">
      <c r="B321" s="1">
        <v>316</v>
      </c>
      <c r="C321" s="2">
        <v>46240</v>
      </c>
      <c r="D321" s="36" t="s">
        <v>191</v>
      </c>
      <c r="E321" s="4"/>
      <c r="F321" s="4">
        <v>195000</v>
      </c>
      <c r="G321" s="5">
        <f t="shared" si="14"/>
        <v>283305135.94</v>
      </c>
    </row>
    <row r="322" spans="2:7" ht="18.75" customHeight="1">
      <c r="B322" s="1">
        <v>317</v>
      </c>
      <c r="C322" s="2">
        <v>46240</v>
      </c>
      <c r="D322" s="36" t="s">
        <v>174</v>
      </c>
      <c r="E322" s="4"/>
      <c r="F322" s="4">
        <v>65000</v>
      </c>
      <c r="G322" s="5">
        <f t="shared" si="14"/>
        <v>283240135.94</v>
      </c>
    </row>
    <row r="323" spans="2:7" ht="18.75" customHeight="1">
      <c r="B323" s="1">
        <v>318</v>
      </c>
      <c r="C323" s="2">
        <v>46241</v>
      </c>
      <c r="D323" s="36" t="s">
        <v>261</v>
      </c>
      <c r="E323" s="4"/>
      <c r="F323" s="4">
        <v>33000</v>
      </c>
      <c r="G323" s="5">
        <f t="shared" si="14"/>
        <v>283207135.94</v>
      </c>
    </row>
    <row r="324" spans="2:7" ht="18.75" customHeight="1">
      <c r="B324" s="1">
        <v>319</v>
      </c>
      <c r="C324" s="2">
        <v>46241</v>
      </c>
      <c r="D324" s="36" t="s">
        <v>262</v>
      </c>
      <c r="E324" s="4"/>
      <c r="F324" s="4">
        <v>265100</v>
      </c>
      <c r="G324" s="5">
        <f t="shared" si="14"/>
        <v>282942035.94</v>
      </c>
    </row>
    <row r="325" spans="2:7" ht="18.75" customHeight="1">
      <c r="B325" s="1">
        <v>320</v>
      </c>
      <c r="C325" s="2">
        <v>46241</v>
      </c>
      <c r="D325" s="36" t="s">
        <v>204</v>
      </c>
      <c r="E325" s="4"/>
      <c r="F325" s="4">
        <v>27500</v>
      </c>
      <c r="G325" s="5">
        <f t="shared" si="14"/>
        <v>282914535.94</v>
      </c>
    </row>
    <row r="326" spans="2:7" ht="18.75" customHeight="1">
      <c r="B326" s="1">
        <v>321</v>
      </c>
      <c r="C326" s="2">
        <v>46241</v>
      </c>
      <c r="D326" s="28" t="s">
        <v>101</v>
      </c>
      <c r="E326" s="4"/>
      <c r="F326" s="4">
        <v>80228</v>
      </c>
      <c r="G326" s="5">
        <f t="shared" si="14"/>
        <v>282834307.94</v>
      </c>
    </row>
    <row r="327" spans="2:7" ht="18.75" customHeight="1">
      <c r="B327" s="1">
        <v>322</v>
      </c>
      <c r="C327" s="2">
        <v>46242</v>
      </c>
      <c r="D327" s="28" t="s">
        <v>96</v>
      </c>
      <c r="E327" s="4"/>
      <c r="F327" s="4">
        <v>886400</v>
      </c>
      <c r="G327" s="5">
        <f t="shared" si="14"/>
        <v>281947907.94</v>
      </c>
    </row>
    <row r="328" spans="2:7" ht="18.75" customHeight="1">
      <c r="B328" s="1">
        <v>323</v>
      </c>
      <c r="C328" s="2">
        <v>46242</v>
      </c>
      <c r="D328" s="36" t="s">
        <v>148</v>
      </c>
      <c r="E328" s="4"/>
      <c r="F328" s="4">
        <v>75000</v>
      </c>
      <c r="G328" s="5">
        <f t="shared" si="14"/>
        <v>281872907.94</v>
      </c>
    </row>
    <row r="329" spans="2:7" ht="18.75" customHeight="1">
      <c r="B329" s="1">
        <v>324</v>
      </c>
      <c r="C329" s="2">
        <v>46242</v>
      </c>
      <c r="D329" s="36" t="s">
        <v>263</v>
      </c>
      <c r="E329" s="4"/>
      <c r="F329" s="4">
        <v>100000</v>
      </c>
      <c r="G329" s="5">
        <f t="shared" si="14"/>
        <v>281772907.94</v>
      </c>
    </row>
    <row r="330" spans="2:7" ht="18.75" customHeight="1">
      <c r="B330" s="1">
        <v>325</v>
      </c>
      <c r="C330" s="2">
        <v>46244</v>
      </c>
      <c r="D330" s="36" t="s">
        <v>254</v>
      </c>
      <c r="E330" s="4"/>
      <c r="F330" s="4">
        <v>113000</v>
      </c>
      <c r="G330" s="5">
        <f t="shared" si="14"/>
        <v>281659907.94</v>
      </c>
    </row>
    <row r="331" spans="2:7" ht="18.75" customHeight="1">
      <c r="B331" s="1">
        <v>326</v>
      </c>
      <c r="C331" s="2">
        <v>46244</v>
      </c>
      <c r="D331" s="36" t="s">
        <v>264</v>
      </c>
      <c r="E331" s="4"/>
      <c r="F331" s="4">
        <v>600000</v>
      </c>
      <c r="G331" s="5">
        <f t="shared" si="14"/>
        <v>281059907.94</v>
      </c>
    </row>
    <row r="332" spans="2:7" ht="18.75" customHeight="1">
      <c r="B332" s="1">
        <v>327</v>
      </c>
      <c r="C332" s="2">
        <v>46244</v>
      </c>
      <c r="D332" s="42" t="s">
        <v>265</v>
      </c>
      <c r="E332" s="4"/>
      <c r="F332" s="4">
        <v>30000</v>
      </c>
      <c r="G332" s="5">
        <f t="shared" si="14"/>
        <v>281029907.94</v>
      </c>
    </row>
    <row r="333" spans="2:7" ht="18.75" customHeight="1">
      <c r="B333" s="1">
        <v>328</v>
      </c>
      <c r="C333" s="2">
        <v>46244</v>
      </c>
      <c r="D333" s="36" t="s">
        <v>266</v>
      </c>
      <c r="E333" s="4"/>
      <c r="F333" s="4">
        <v>398120</v>
      </c>
      <c r="G333" s="5">
        <f t="shared" si="14"/>
        <v>280631787.94</v>
      </c>
    </row>
    <row r="334" spans="2:7" ht="18.75" customHeight="1">
      <c r="B334" s="1">
        <v>329</v>
      </c>
      <c r="C334" s="2">
        <v>46244</v>
      </c>
      <c r="D334" s="36" t="s">
        <v>267</v>
      </c>
      <c r="E334" s="4"/>
      <c r="F334" s="4">
        <v>180000</v>
      </c>
      <c r="G334" s="5">
        <f t="shared" si="14"/>
        <v>280451787.94</v>
      </c>
    </row>
    <row r="335" spans="2:7" ht="18.75" customHeight="1">
      <c r="B335" s="1">
        <v>330</v>
      </c>
      <c r="C335" s="2">
        <v>46245</v>
      </c>
      <c r="D335" s="36" t="s">
        <v>151</v>
      </c>
      <c r="E335" s="4"/>
      <c r="F335" s="4">
        <v>112501</v>
      </c>
      <c r="G335" s="5">
        <f t="shared" si="14"/>
        <v>280339286.94</v>
      </c>
    </row>
    <row r="336" spans="2:7" ht="18.75" customHeight="1">
      <c r="B336" s="1">
        <v>331</v>
      </c>
      <c r="C336" s="2">
        <v>46245</v>
      </c>
      <c r="D336" s="36" t="s">
        <v>268</v>
      </c>
      <c r="E336" s="4"/>
      <c r="F336" s="4">
        <v>254100</v>
      </c>
      <c r="G336" s="5">
        <f t="shared" si="14"/>
        <v>280085186.94</v>
      </c>
    </row>
    <row r="337" spans="2:7" ht="18.75" customHeight="1">
      <c r="B337" s="1">
        <v>332</v>
      </c>
      <c r="C337" s="2">
        <v>46245</v>
      </c>
      <c r="D337" s="28" t="s">
        <v>269</v>
      </c>
      <c r="E337" s="4"/>
      <c r="F337" s="4">
        <v>150000</v>
      </c>
      <c r="G337" s="5">
        <f t="shared" si="14"/>
        <v>279935186.94</v>
      </c>
    </row>
    <row r="338" spans="2:7" ht="18.75" customHeight="1">
      <c r="B338" s="1">
        <v>333</v>
      </c>
      <c r="C338" s="2">
        <v>46245</v>
      </c>
      <c r="D338" s="36" t="s">
        <v>270</v>
      </c>
      <c r="E338" s="4"/>
      <c r="F338" s="4">
        <v>156500</v>
      </c>
      <c r="G338" s="5">
        <f t="shared" si="14"/>
        <v>279778686.94</v>
      </c>
    </row>
    <row r="339" spans="2:7" ht="18.75" customHeight="1">
      <c r="B339" s="1">
        <v>334</v>
      </c>
      <c r="C339" s="2">
        <v>46246</v>
      </c>
      <c r="D339" s="32" t="s">
        <v>271</v>
      </c>
      <c r="E339" s="4"/>
      <c r="F339" s="4">
        <v>34899</v>
      </c>
      <c r="G339" s="5">
        <f t="shared" si="14"/>
        <v>279743787.94</v>
      </c>
    </row>
    <row r="340" spans="2:7" ht="18.75" customHeight="1">
      <c r="B340" s="1">
        <v>335</v>
      </c>
      <c r="C340" s="2">
        <v>46247</v>
      </c>
      <c r="D340" s="36" t="s">
        <v>272</v>
      </c>
      <c r="E340" s="4"/>
      <c r="F340" s="4">
        <v>180500</v>
      </c>
      <c r="G340" s="5">
        <f t="shared" si="14"/>
        <v>279563287.94</v>
      </c>
    </row>
    <row r="341" spans="2:7" ht="18.75" customHeight="1">
      <c r="B341" s="1">
        <v>336</v>
      </c>
      <c r="C341" s="2">
        <v>46247</v>
      </c>
      <c r="D341" s="36" t="s">
        <v>240</v>
      </c>
      <c r="E341" s="4"/>
      <c r="F341" s="4">
        <v>39000</v>
      </c>
      <c r="G341" s="5">
        <f t="shared" si="14"/>
        <v>279524287.94</v>
      </c>
    </row>
    <row r="342" spans="2:7" ht="18.75" customHeight="1">
      <c r="B342" s="1">
        <v>337</v>
      </c>
      <c r="C342" s="2">
        <v>46247</v>
      </c>
      <c r="D342" s="36" t="s">
        <v>273</v>
      </c>
      <c r="E342" s="4"/>
      <c r="F342" s="4">
        <v>33000</v>
      </c>
      <c r="G342" s="5">
        <f t="shared" si="14"/>
        <v>279491287.94</v>
      </c>
    </row>
    <row r="343" spans="2:7" ht="18.75" customHeight="1">
      <c r="B343" s="1">
        <v>338</v>
      </c>
      <c r="C343" s="2">
        <v>46247</v>
      </c>
      <c r="D343" s="36" t="s">
        <v>274</v>
      </c>
      <c r="E343" s="4"/>
      <c r="F343" s="4">
        <v>108000</v>
      </c>
      <c r="G343" s="5">
        <f t="shared" si="14"/>
        <v>279383287.94</v>
      </c>
    </row>
    <row r="344" spans="2:7" ht="18.75" customHeight="1">
      <c r="B344" s="1">
        <v>339</v>
      </c>
      <c r="C344" s="2">
        <v>46248</v>
      </c>
      <c r="D344" s="36" t="s">
        <v>104</v>
      </c>
      <c r="E344" s="4"/>
      <c r="F344" s="4">
        <v>42078</v>
      </c>
      <c r="G344" s="5">
        <f t="shared" si="14"/>
        <v>279341209.94</v>
      </c>
    </row>
    <row r="345" spans="2:7" ht="18.75" customHeight="1">
      <c r="B345" s="1">
        <v>340</v>
      </c>
      <c r="C345" s="2">
        <v>46248</v>
      </c>
      <c r="D345" s="36" t="s">
        <v>97</v>
      </c>
      <c r="E345" s="4"/>
      <c r="F345" s="4">
        <v>95000</v>
      </c>
      <c r="G345" s="5">
        <f t="shared" si="14"/>
        <v>279246209.94</v>
      </c>
    </row>
    <row r="346" spans="2:7" ht="18.75" customHeight="1">
      <c r="B346" s="1">
        <v>341</v>
      </c>
      <c r="C346" s="2">
        <v>46248</v>
      </c>
      <c r="D346" s="28" t="s">
        <v>164</v>
      </c>
      <c r="E346" s="4"/>
      <c r="F346" s="4">
        <v>847500</v>
      </c>
      <c r="G346" s="5">
        <f t="shared" si="14"/>
        <v>278398709.94</v>
      </c>
    </row>
    <row r="347" spans="2:7" ht="18.75" customHeight="1">
      <c r="B347" s="1">
        <v>342</v>
      </c>
      <c r="C347" s="2">
        <v>46250</v>
      </c>
      <c r="D347" s="28" t="s">
        <v>275</v>
      </c>
      <c r="E347" s="4"/>
      <c r="F347" s="4">
        <v>915900</v>
      </c>
      <c r="G347" s="5">
        <f t="shared" si="14"/>
        <v>277482809.94</v>
      </c>
    </row>
    <row r="348" spans="2:7" ht="18.75" customHeight="1">
      <c r="B348" s="1">
        <v>343</v>
      </c>
      <c r="C348" s="2">
        <v>46251</v>
      </c>
      <c r="D348" s="28" t="s">
        <v>101</v>
      </c>
      <c r="E348" s="4"/>
      <c r="F348" s="4">
        <v>53000</v>
      </c>
      <c r="G348" s="5">
        <f t="shared" si="14"/>
        <v>277429809.94</v>
      </c>
    </row>
    <row r="349" spans="2:7" ht="18.75" customHeight="1">
      <c r="B349" s="1">
        <v>344</v>
      </c>
      <c r="C349" s="2">
        <v>46251</v>
      </c>
      <c r="D349" s="36" t="s">
        <v>276</v>
      </c>
      <c r="E349" s="4"/>
      <c r="F349" s="4">
        <v>47900</v>
      </c>
      <c r="G349" s="5">
        <f t="shared" si="14"/>
        <v>277381909.94</v>
      </c>
    </row>
    <row r="350" spans="2:7" ht="18.75" customHeight="1">
      <c r="B350" s="1">
        <v>345</v>
      </c>
      <c r="C350" s="2">
        <v>46251</v>
      </c>
      <c r="D350" s="36" t="s">
        <v>268</v>
      </c>
      <c r="E350" s="4"/>
      <c r="F350" s="4">
        <v>210100</v>
      </c>
      <c r="G350" s="5">
        <f t="shared" si="14"/>
        <v>277171809.94</v>
      </c>
    </row>
    <row r="351" spans="2:7" ht="18.75" customHeight="1">
      <c r="B351" s="1">
        <v>346</v>
      </c>
      <c r="C351" s="2">
        <v>46251</v>
      </c>
      <c r="D351" s="36" t="s">
        <v>127</v>
      </c>
      <c r="E351" s="4"/>
      <c r="F351" s="4">
        <v>134000</v>
      </c>
      <c r="G351" s="5">
        <f t="shared" si="14"/>
        <v>277037809.94</v>
      </c>
    </row>
    <row r="352" spans="2:7" ht="18.75" customHeight="1">
      <c r="B352" s="1">
        <v>347</v>
      </c>
      <c r="C352" s="2">
        <v>46252</v>
      </c>
      <c r="D352" s="28" t="s">
        <v>101</v>
      </c>
      <c r="E352" s="4"/>
      <c r="F352" s="4">
        <v>60000</v>
      </c>
      <c r="G352" s="5">
        <f t="shared" si="14"/>
        <v>276977809.94</v>
      </c>
    </row>
    <row r="353" spans="2:7" ht="18.75" customHeight="1">
      <c r="B353" s="1">
        <v>348</v>
      </c>
      <c r="C353" s="2">
        <v>46252</v>
      </c>
      <c r="D353" s="36" t="s">
        <v>277</v>
      </c>
      <c r="E353" s="4"/>
      <c r="F353" s="4">
        <v>409200</v>
      </c>
      <c r="G353" s="5">
        <f t="shared" si="14"/>
        <v>276568609.94</v>
      </c>
    </row>
    <row r="354" spans="2:7" ht="18.75" customHeight="1">
      <c r="B354" s="1">
        <v>349</v>
      </c>
      <c r="C354" s="2">
        <v>46254</v>
      </c>
      <c r="D354" s="28" t="s">
        <v>101</v>
      </c>
      <c r="E354" s="4"/>
      <c r="F354" s="4">
        <v>346000</v>
      </c>
      <c r="G354" s="5">
        <f t="shared" si="14"/>
        <v>276222609.94</v>
      </c>
    </row>
    <row r="355" spans="2:7" ht="18.75" customHeight="1">
      <c r="B355" s="1">
        <v>350</v>
      </c>
      <c r="C355" s="2">
        <v>46254</v>
      </c>
      <c r="D355" s="36" t="s">
        <v>276</v>
      </c>
      <c r="E355" s="4"/>
      <c r="F355" s="4">
        <v>13000</v>
      </c>
      <c r="G355" s="5">
        <f t="shared" si="14"/>
        <v>276209609.94</v>
      </c>
    </row>
    <row r="356" spans="2:7" ht="18.75" customHeight="1">
      <c r="B356" s="1">
        <v>351</v>
      </c>
      <c r="C356" s="2">
        <v>46254</v>
      </c>
      <c r="D356" s="28" t="s">
        <v>278</v>
      </c>
      <c r="E356" s="4"/>
      <c r="F356" s="4">
        <v>24000</v>
      </c>
      <c r="G356" s="5">
        <f t="shared" si="14"/>
        <v>276185609.94</v>
      </c>
    </row>
    <row r="357" spans="2:7" ht="18.75" customHeight="1">
      <c r="B357" s="1">
        <v>352</v>
      </c>
      <c r="C357" s="2">
        <v>46254</v>
      </c>
      <c r="D357" s="36" t="s">
        <v>279</v>
      </c>
      <c r="E357" s="4"/>
      <c r="F357" s="4">
        <v>120000</v>
      </c>
      <c r="G357" s="5">
        <f t="shared" si="14"/>
        <v>276065609.94</v>
      </c>
    </row>
    <row r="358" spans="2:7" ht="18.75" customHeight="1">
      <c r="B358" s="1">
        <v>353</v>
      </c>
      <c r="C358" s="2">
        <v>46255</v>
      </c>
      <c r="D358" s="52" t="s">
        <v>217</v>
      </c>
      <c r="E358" s="4"/>
      <c r="F358" s="4">
        <v>50000</v>
      </c>
      <c r="G358" s="5">
        <f t="shared" si="14"/>
        <v>276015609.94</v>
      </c>
    </row>
    <row r="359" spans="2:7" ht="18.75" customHeight="1">
      <c r="B359" s="1">
        <v>354</v>
      </c>
      <c r="C359" s="2">
        <v>46255</v>
      </c>
      <c r="D359" s="36" t="s">
        <v>148</v>
      </c>
      <c r="E359" s="4"/>
      <c r="F359" s="4">
        <v>165020</v>
      </c>
      <c r="G359" s="5">
        <f t="shared" si="14"/>
        <v>275850589.94</v>
      </c>
    </row>
    <row r="360" spans="2:7" ht="18.75" customHeight="1">
      <c r="B360" s="1">
        <v>355</v>
      </c>
      <c r="C360" s="2">
        <v>46255</v>
      </c>
      <c r="D360" s="28" t="s">
        <v>101</v>
      </c>
      <c r="E360" s="4"/>
      <c r="F360" s="4">
        <v>645800</v>
      </c>
      <c r="G360" s="5">
        <f t="shared" si="14"/>
        <v>275204789.94</v>
      </c>
    </row>
    <row r="361" spans="2:7" ht="18.75" customHeight="1">
      <c r="B361" s="1">
        <v>356</v>
      </c>
      <c r="C361" s="2">
        <v>46258</v>
      </c>
      <c r="D361" s="28" t="s">
        <v>278</v>
      </c>
      <c r="E361" s="4"/>
      <c r="F361" s="4">
        <v>31000</v>
      </c>
      <c r="G361" s="5">
        <f t="shared" si="14"/>
        <v>275173789.94</v>
      </c>
    </row>
    <row r="362" spans="2:7" ht="18.75" customHeight="1">
      <c r="B362" s="1">
        <v>357</v>
      </c>
      <c r="C362" s="2">
        <v>46258</v>
      </c>
      <c r="D362" s="36" t="s">
        <v>97</v>
      </c>
      <c r="E362" s="4"/>
      <c r="F362" s="4">
        <v>71000</v>
      </c>
      <c r="G362" s="5">
        <f t="shared" si="14"/>
        <v>275102789.94</v>
      </c>
    </row>
    <row r="363" spans="2:7" ht="18.75" customHeight="1">
      <c r="B363" s="1">
        <v>358</v>
      </c>
      <c r="C363" s="2">
        <v>46258</v>
      </c>
      <c r="D363" s="28" t="s">
        <v>280</v>
      </c>
      <c r="E363" s="4"/>
      <c r="F363" s="4">
        <v>50000</v>
      </c>
      <c r="G363" s="5">
        <f t="shared" si="14"/>
        <v>275052789.94</v>
      </c>
    </row>
    <row r="364" spans="2:7" ht="18.75" customHeight="1">
      <c r="B364" s="1">
        <v>359</v>
      </c>
      <c r="C364" s="2">
        <v>46258</v>
      </c>
      <c r="D364" s="28" t="s">
        <v>281</v>
      </c>
      <c r="E364" s="4"/>
      <c r="F364" s="4">
        <v>100000</v>
      </c>
      <c r="G364" s="5">
        <f t="shared" si="14"/>
        <v>274952789.94</v>
      </c>
    </row>
    <row r="365" spans="2:7" ht="18.75" customHeight="1">
      <c r="B365" s="1">
        <v>360</v>
      </c>
      <c r="C365" s="2">
        <v>46258</v>
      </c>
      <c r="D365" s="36" t="s">
        <v>282</v>
      </c>
      <c r="E365" s="4"/>
      <c r="F365" s="4">
        <v>178000</v>
      </c>
      <c r="G365" s="5">
        <f t="shared" si="14"/>
        <v>274774789.94</v>
      </c>
    </row>
    <row r="366" spans="2:7" ht="18.75" customHeight="1">
      <c r="B366" s="1">
        <v>361</v>
      </c>
      <c r="C366" s="2">
        <v>46259</v>
      </c>
      <c r="D366" s="30" t="s">
        <v>283</v>
      </c>
      <c r="E366" s="4"/>
      <c r="F366" s="4">
        <v>314000</v>
      </c>
      <c r="G366" s="5">
        <f t="shared" si="14"/>
        <v>274460789.94</v>
      </c>
    </row>
    <row r="367" spans="2:7" ht="18.75" customHeight="1">
      <c r="B367" s="1">
        <v>362</v>
      </c>
      <c r="C367" s="2">
        <v>46259</v>
      </c>
      <c r="D367" s="30" t="s">
        <v>284</v>
      </c>
      <c r="E367" s="4"/>
      <c r="F367" s="4">
        <v>1387950</v>
      </c>
      <c r="G367" s="5">
        <f t="shared" si="14"/>
        <v>273072839.94</v>
      </c>
    </row>
    <row r="368" spans="2:7" ht="18.75" customHeight="1">
      <c r="B368" s="1">
        <v>363</v>
      </c>
      <c r="C368" s="2">
        <v>46259</v>
      </c>
      <c r="D368" s="21" t="s">
        <v>285</v>
      </c>
      <c r="E368" s="4"/>
      <c r="F368" s="4">
        <v>7500000</v>
      </c>
      <c r="G368" s="5">
        <f t="shared" si="14"/>
        <v>265572839.94</v>
      </c>
    </row>
    <row r="369" spans="2:7" ht="18.75" customHeight="1">
      <c r="B369" s="1">
        <v>364</v>
      </c>
      <c r="C369" s="2">
        <v>46259</v>
      </c>
      <c r="D369" s="36" t="s">
        <v>194</v>
      </c>
      <c r="E369" s="4"/>
      <c r="F369" s="4">
        <v>115900</v>
      </c>
      <c r="G369" s="5">
        <f t="shared" si="14"/>
        <v>265456939.94</v>
      </c>
    </row>
    <row r="370" spans="2:7" ht="18.75" customHeight="1">
      <c r="B370" s="1">
        <v>365</v>
      </c>
      <c r="C370" s="2">
        <v>46260</v>
      </c>
      <c r="D370" s="36" t="s">
        <v>286</v>
      </c>
      <c r="E370" s="4"/>
      <c r="F370" s="4">
        <v>207000</v>
      </c>
      <c r="G370" s="5">
        <f t="shared" si="14"/>
        <v>265249939.94</v>
      </c>
    </row>
    <row r="371" spans="2:7" ht="18.75" customHeight="1">
      <c r="B371" s="1">
        <v>366</v>
      </c>
      <c r="C371" s="2">
        <v>46260</v>
      </c>
      <c r="D371" s="36" t="s">
        <v>287</v>
      </c>
      <c r="E371" s="4"/>
      <c r="F371" s="4">
        <v>136000</v>
      </c>
      <c r="G371" s="5">
        <f t="shared" si="14"/>
        <v>265113939.94</v>
      </c>
    </row>
    <row r="372" spans="2:7" ht="18.75" customHeight="1">
      <c r="B372" s="1">
        <v>367</v>
      </c>
      <c r="C372" s="2">
        <v>46260</v>
      </c>
      <c r="D372" s="36" t="s">
        <v>288</v>
      </c>
      <c r="E372" s="4"/>
      <c r="F372" s="4">
        <v>113000</v>
      </c>
      <c r="G372" s="5">
        <f t="shared" si="14"/>
        <v>265000939.94</v>
      </c>
    </row>
    <row r="373" spans="2:7" ht="18.75" customHeight="1">
      <c r="B373" s="1">
        <v>368</v>
      </c>
      <c r="C373" s="2">
        <v>46261</v>
      </c>
      <c r="D373" s="36" t="s">
        <v>289</v>
      </c>
      <c r="E373" s="4"/>
      <c r="F373" s="4">
        <v>90000</v>
      </c>
      <c r="G373" s="5">
        <f t="shared" si="14"/>
        <v>264910939.94</v>
      </c>
    </row>
    <row r="374" spans="2:7" ht="18.75" customHeight="1">
      <c r="B374" s="1">
        <v>369</v>
      </c>
      <c r="C374" s="2">
        <v>46261</v>
      </c>
      <c r="D374" s="28" t="s">
        <v>124</v>
      </c>
      <c r="E374" s="4"/>
      <c r="F374" s="4">
        <v>37000</v>
      </c>
      <c r="G374" s="5">
        <f t="shared" si="14"/>
        <v>264873939.94</v>
      </c>
    </row>
    <row r="375" spans="2:7" ht="18.75" customHeight="1">
      <c r="B375" s="1">
        <v>370</v>
      </c>
      <c r="C375" s="2">
        <v>46262</v>
      </c>
      <c r="D375" s="36" t="s">
        <v>290</v>
      </c>
      <c r="E375" s="4"/>
      <c r="F375" s="4">
        <v>75000</v>
      </c>
      <c r="G375" s="5">
        <f t="shared" si="14"/>
        <v>264798939.94</v>
      </c>
    </row>
    <row r="376" spans="2:7" ht="18.75" customHeight="1">
      <c r="B376" s="1">
        <v>371</v>
      </c>
      <c r="C376" s="2">
        <v>46262</v>
      </c>
      <c r="D376" s="36" t="s">
        <v>276</v>
      </c>
      <c r="E376" s="4"/>
      <c r="F376" s="4">
        <v>43000</v>
      </c>
      <c r="G376" s="5">
        <f t="shared" ref="G376:G423" si="15">G375-F376</f>
        <v>264755939.94</v>
      </c>
    </row>
    <row r="377" spans="2:7" ht="18.75" customHeight="1">
      <c r="B377" s="1">
        <v>372</v>
      </c>
      <c r="C377" s="2">
        <v>46262</v>
      </c>
      <c r="D377" s="28" t="s">
        <v>129</v>
      </c>
      <c r="E377" s="4"/>
      <c r="F377" s="4">
        <v>72000</v>
      </c>
      <c r="G377" s="5">
        <f t="shared" si="15"/>
        <v>264683939.94</v>
      </c>
    </row>
    <row r="378" spans="2:7" ht="18.75" customHeight="1">
      <c r="B378" s="1">
        <v>373</v>
      </c>
      <c r="C378" s="2">
        <v>46263</v>
      </c>
      <c r="D378" s="42" t="s">
        <v>291</v>
      </c>
      <c r="E378" s="4"/>
      <c r="F378" s="4">
        <v>3500000</v>
      </c>
      <c r="G378" s="5">
        <f t="shared" si="15"/>
        <v>261183939.94</v>
      </c>
    </row>
    <row r="379" spans="2:7" ht="18.75" customHeight="1">
      <c r="B379" s="1">
        <v>374</v>
      </c>
      <c r="C379" s="2">
        <v>46263</v>
      </c>
      <c r="D379" s="28" t="s">
        <v>96</v>
      </c>
      <c r="E379" s="4"/>
      <c r="F379" s="4">
        <v>606800</v>
      </c>
      <c r="G379" s="5">
        <f t="shared" si="15"/>
        <v>260577139.94</v>
      </c>
    </row>
    <row r="380" spans="2:7" ht="18.75" customHeight="1">
      <c r="B380" s="1">
        <v>375</v>
      </c>
      <c r="C380" s="2">
        <v>46264</v>
      </c>
      <c r="D380" s="21" t="s">
        <v>292</v>
      </c>
      <c r="E380" s="4"/>
      <c r="F380" s="4">
        <v>7500000</v>
      </c>
      <c r="G380" s="5">
        <f t="shared" si="15"/>
        <v>253077139.94</v>
      </c>
    </row>
    <row r="381" spans="2:7" ht="18.75" customHeight="1">
      <c r="B381" s="1">
        <v>376</v>
      </c>
      <c r="C381" s="2">
        <v>46264</v>
      </c>
      <c r="D381" s="21" t="s">
        <v>293</v>
      </c>
      <c r="E381" s="4"/>
      <c r="F381" s="4">
        <v>2500000</v>
      </c>
      <c r="G381" s="5">
        <f t="shared" si="15"/>
        <v>250577139.94</v>
      </c>
    </row>
    <row r="382" spans="2:7" ht="18.75" customHeight="1">
      <c r="B382" s="1">
        <v>377</v>
      </c>
      <c r="C382" s="2">
        <v>46265</v>
      </c>
      <c r="D382" s="28" t="s">
        <v>294</v>
      </c>
      <c r="E382" s="4"/>
      <c r="F382" s="4">
        <v>47000</v>
      </c>
      <c r="G382" s="5">
        <f t="shared" si="15"/>
        <v>250530139.94</v>
      </c>
    </row>
    <row r="383" spans="2:7" ht="18.75" customHeight="1">
      <c r="B383" s="1">
        <v>378</v>
      </c>
      <c r="C383" s="2">
        <v>46265</v>
      </c>
      <c r="D383" s="28" t="s">
        <v>280</v>
      </c>
      <c r="E383" s="4"/>
      <c r="F383" s="4">
        <v>30000</v>
      </c>
      <c r="G383" s="5">
        <f t="shared" si="15"/>
        <v>250500139.94</v>
      </c>
    </row>
    <row r="384" spans="2:7" ht="18.75" customHeight="1">
      <c r="B384" s="1">
        <v>379</v>
      </c>
      <c r="C384" s="2">
        <v>46265</v>
      </c>
      <c r="D384" s="36" t="s">
        <v>295</v>
      </c>
      <c r="E384" s="4"/>
      <c r="F384" s="4">
        <v>85650</v>
      </c>
      <c r="G384" s="5">
        <f t="shared" si="15"/>
        <v>250414489.94</v>
      </c>
    </row>
    <row r="385" spans="2:7" ht="18.75" customHeight="1">
      <c r="B385" s="1">
        <v>380</v>
      </c>
      <c r="C385" s="2">
        <v>46265</v>
      </c>
      <c r="D385" s="31" t="s">
        <v>67</v>
      </c>
      <c r="E385" s="4">
        <v>7837.11</v>
      </c>
      <c r="F385" s="4"/>
      <c r="G385" s="5">
        <f>G384+E385</f>
        <v>250422327.05000001</v>
      </c>
    </row>
    <row r="386" spans="2:7" ht="18.75" customHeight="1">
      <c r="B386" s="1">
        <v>381</v>
      </c>
      <c r="C386" s="2">
        <v>46265</v>
      </c>
      <c r="D386" s="31" t="s">
        <v>68</v>
      </c>
      <c r="E386" s="4"/>
      <c r="F386" s="4">
        <v>1567.42</v>
      </c>
      <c r="G386" s="5">
        <f t="shared" si="15"/>
        <v>250420759.63000003</v>
      </c>
    </row>
    <row r="387" spans="2:7" ht="18.75" customHeight="1">
      <c r="B387" s="1">
        <v>382</v>
      </c>
      <c r="C387" s="2">
        <v>46266</v>
      </c>
      <c r="D387" s="36" t="s">
        <v>102</v>
      </c>
      <c r="E387" s="4"/>
      <c r="F387" s="4">
        <v>80000</v>
      </c>
      <c r="G387" s="5">
        <f t="shared" si="15"/>
        <v>250340759.63000003</v>
      </c>
    </row>
    <row r="388" spans="2:7" ht="18.75" customHeight="1">
      <c r="B388" s="1">
        <v>383</v>
      </c>
      <c r="C388" s="2">
        <v>46266</v>
      </c>
      <c r="D388" s="36" t="s">
        <v>296</v>
      </c>
      <c r="E388" s="4"/>
      <c r="F388" s="4">
        <v>226000</v>
      </c>
      <c r="G388" s="5">
        <f t="shared" si="15"/>
        <v>250114759.63000003</v>
      </c>
    </row>
    <row r="389" spans="2:7" ht="18.75" customHeight="1">
      <c r="B389" s="1">
        <v>384</v>
      </c>
      <c r="C389" s="2">
        <v>46267</v>
      </c>
      <c r="D389" s="36" t="s">
        <v>297</v>
      </c>
      <c r="E389" s="4"/>
      <c r="F389" s="4">
        <v>187500</v>
      </c>
      <c r="G389" s="5">
        <f t="shared" si="15"/>
        <v>249927259.63000003</v>
      </c>
    </row>
    <row r="390" spans="2:7" ht="18.75" customHeight="1">
      <c r="B390" s="1">
        <v>385</v>
      </c>
      <c r="C390" s="2">
        <v>46267</v>
      </c>
      <c r="D390" s="36" t="s">
        <v>295</v>
      </c>
      <c r="E390" s="4"/>
      <c r="F390" s="4">
        <v>138439</v>
      </c>
      <c r="G390" s="5">
        <f t="shared" si="15"/>
        <v>249788820.63000003</v>
      </c>
    </row>
    <row r="391" spans="2:7" ht="18.75" customHeight="1">
      <c r="B391" s="1">
        <v>386</v>
      </c>
      <c r="C391" s="2">
        <v>46268</v>
      </c>
      <c r="D391" s="31" t="s">
        <v>58</v>
      </c>
      <c r="E391" s="4"/>
      <c r="F391" s="4">
        <v>10000</v>
      </c>
      <c r="G391" s="5">
        <f t="shared" si="15"/>
        <v>249778820.63000003</v>
      </c>
    </row>
    <row r="392" spans="2:7" ht="18.75" customHeight="1">
      <c r="B392" s="1">
        <v>387</v>
      </c>
      <c r="C392" s="2">
        <v>46268</v>
      </c>
      <c r="D392" s="36" t="s">
        <v>104</v>
      </c>
      <c r="E392" s="4"/>
      <c r="F392" s="4">
        <v>34000</v>
      </c>
      <c r="G392" s="5">
        <f t="shared" si="15"/>
        <v>249744820.63000003</v>
      </c>
    </row>
    <row r="393" spans="2:7" ht="18.75" customHeight="1">
      <c r="B393" s="1">
        <v>388</v>
      </c>
      <c r="C393" s="2">
        <v>46269</v>
      </c>
      <c r="D393" s="12" t="s">
        <v>298</v>
      </c>
      <c r="E393" s="4">
        <f>'SJ House - Tria Andika (KM)'!G46</f>
        <v>8777849</v>
      </c>
      <c r="F393" s="4"/>
      <c r="G393" s="5">
        <f>G392+E393</f>
        <v>258522669.63000003</v>
      </c>
    </row>
    <row r="394" spans="2:7" ht="18.75" customHeight="1">
      <c r="B394" s="1">
        <v>389</v>
      </c>
      <c r="C394" s="2">
        <v>46272</v>
      </c>
      <c r="D394" s="28" t="s">
        <v>299</v>
      </c>
      <c r="E394" s="4"/>
      <c r="F394" s="4">
        <v>67000</v>
      </c>
      <c r="G394" s="5">
        <f t="shared" si="15"/>
        <v>258455669.63000003</v>
      </c>
    </row>
    <row r="395" spans="2:7" ht="18.75" customHeight="1">
      <c r="B395" s="1">
        <v>390</v>
      </c>
      <c r="C395" s="2">
        <v>46272</v>
      </c>
      <c r="D395" s="36" t="s">
        <v>185</v>
      </c>
      <c r="E395" s="4"/>
      <c r="F395" s="4">
        <v>314000</v>
      </c>
      <c r="G395" s="5">
        <f t="shared" si="15"/>
        <v>258141669.63000003</v>
      </c>
    </row>
    <row r="396" spans="2:7" ht="18.75" customHeight="1">
      <c r="B396" s="1">
        <v>391</v>
      </c>
      <c r="C396" s="2">
        <v>46272</v>
      </c>
      <c r="D396" s="36" t="s">
        <v>240</v>
      </c>
      <c r="E396" s="4"/>
      <c r="F396" s="4">
        <v>60600</v>
      </c>
      <c r="G396" s="5">
        <f t="shared" si="15"/>
        <v>258081069.63000003</v>
      </c>
    </row>
    <row r="397" spans="2:7" ht="18.75" customHeight="1">
      <c r="B397" s="1">
        <v>392</v>
      </c>
      <c r="C397" s="2">
        <v>46272</v>
      </c>
      <c r="D397" s="36" t="s">
        <v>300</v>
      </c>
      <c r="E397" s="4"/>
      <c r="F397" s="4">
        <v>192500</v>
      </c>
      <c r="G397" s="5">
        <f t="shared" si="15"/>
        <v>257888569.63000003</v>
      </c>
    </row>
    <row r="398" spans="2:7" ht="18.75" customHeight="1">
      <c r="B398" s="1">
        <v>393</v>
      </c>
      <c r="C398" s="2">
        <v>46273</v>
      </c>
      <c r="D398" s="36" t="s">
        <v>277</v>
      </c>
      <c r="E398" s="4"/>
      <c r="F398" s="4">
        <v>261800</v>
      </c>
      <c r="G398" s="5">
        <f t="shared" si="15"/>
        <v>257626769.63000003</v>
      </c>
    </row>
    <row r="399" spans="2:7" ht="18.75" customHeight="1">
      <c r="B399" s="1">
        <v>394</v>
      </c>
      <c r="C399" s="2">
        <v>46273</v>
      </c>
      <c r="D399" s="36" t="s">
        <v>296</v>
      </c>
      <c r="E399" s="4"/>
      <c r="F399" s="4">
        <v>241000</v>
      </c>
      <c r="G399" s="5">
        <f t="shared" si="15"/>
        <v>257385769.63000003</v>
      </c>
    </row>
    <row r="400" spans="2:7" ht="18.75" customHeight="1">
      <c r="B400" s="1">
        <v>395</v>
      </c>
      <c r="C400" s="2">
        <v>46274</v>
      </c>
      <c r="D400" s="28" t="s">
        <v>301</v>
      </c>
      <c r="E400" s="4"/>
      <c r="F400" s="4">
        <v>326100</v>
      </c>
      <c r="G400" s="5">
        <f t="shared" si="15"/>
        <v>257059669.63000003</v>
      </c>
    </row>
    <row r="401" spans="2:7" ht="18.75" customHeight="1">
      <c r="B401" s="1">
        <v>396</v>
      </c>
      <c r="C401" s="2">
        <v>46274</v>
      </c>
      <c r="D401" s="36" t="s">
        <v>302</v>
      </c>
      <c r="E401" s="4"/>
      <c r="F401" s="4">
        <v>114500</v>
      </c>
      <c r="G401" s="5">
        <f t="shared" si="15"/>
        <v>256945169.63000003</v>
      </c>
    </row>
    <row r="402" spans="2:7" ht="18.75" customHeight="1">
      <c r="B402" s="1">
        <v>397</v>
      </c>
      <c r="C402" s="2">
        <v>46275</v>
      </c>
      <c r="D402" s="28" t="s">
        <v>280</v>
      </c>
      <c r="E402" s="4"/>
      <c r="F402" s="4">
        <v>20000</v>
      </c>
      <c r="G402" s="5">
        <f t="shared" si="15"/>
        <v>256925169.63000003</v>
      </c>
    </row>
    <row r="403" spans="2:7" ht="18.75" customHeight="1">
      <c r="B403" s="1">
        <v>398</v>
      </c>
      <c r="C403" s="2">
        <v>46275</v>
      </c>
      <c r="D403" s="36" t="s">
        <v>274</v>
      </c>
      <c r="E403" s="4"/>
      <c r="F403" s="4">
        <v>124000</v>
      </c>
      <c r="G403" s="5">
        <f t="shared" si="15"/>
        <v>256801169.63000003</v>
      </c>
    </row>
    <row r="404" spans="2:7" ht="18.75" customHeight="1">
      <c r="B404" s="1">
        <v>399</v>
      </c>
      <c r="C404" s="2">
        <v>46275</v>
      </c>
      <c r="D404" s="28" t="s">
        <v>303</v>
      </c>
      <c r="E404" s="4"/>
      <c r="F404" s="4">
        <v>27500</v>
      </c>
      <c r="G404" s="5">
        <f t="shared" si="15"/>
        <v>256773669.63000003</v>
      </c>
    </row>
    <row r="405" spans="2:7" ht="18.75" customHeight="1">
      <c r="B405" s="1">
        <v>400</v>
      </c>
      <c r="C405" s="2">
        <v>46276</v>
      </c>
      <c r="D405" s="30" t="s">
        <v>249</v>
      </c>
      <c r="E405" s="4"/>
      <c r="F405" s="4">
        <v>127500</v>
      </c>
      <c r="G405" s="5">
        <f t="shared" si="15"/>
        <v>256646169.63000003</v>
      </c>
    </row>
    <row r="406" spans="2:7" ht="18.75" customHeight="1">
      <c r="B406" s="1">
        <v>401</v>
      </c>
      <c r="C406" s="2">
        <v>46276</v>
      </c>
      <c r="D406" s="30" t="s">
        <v>304</v>
      </c>
      <c r="E406" s="4"/>
      <c r="F406" s="4">
        <v>1000000</v>
      </c>
      <c r="G406" s="5">
        <f t="shared" si="15"/>
        <v>255646169.63000003</v>
      </c>
    </row>
    <row r="407" spans="2:7" ht="18.75" customHeight="1">
      <c r="B407" s="1">
        <v>402</v>
      </c>
      <c r="C407" s="2">
        <v>46277</v>
      </c>
      <c r="D407" s="36" t="s">
        <v>305</v>
      </c>
      <c r="E407" s="4"/>
      <c r="F407" s="4">
        <v>373500</v>
      </c>
      <c r="G407" s="5">
        <f t="shared" si="15"/>
        <v>255272669.63000003</v>
      </c>
    </row>
    <row r="408" spans="2:7" ht="18.75" customHeight="1">
      <c r="B408" s="1">
        <v>403</v>
      </c>
      <c r="C408" s="2">
        <v>46277</v>
      </c>
      <c r="D408" s="28" t="s">
        <v>101</v>
      </c>
      <c r="E408" s="4"/>
      <c r="F408" s="4">
        <v>280900</v>
      </c>
      <c r="G408" s="5">
        <f t="shared" si="15"/>
        <v>254991769.63000003</v>
      </c>
    </row>
    <row r="409" spans="2:7" ht="18.75" customHeight="1">
      <c r="B409" s="1">
        <v>404</v>
      </c>
      <c r="C409" s="2">
        <v>46280</v>
      </c>
      <c r="D409" s="28" t="s">
        <v>306</v>
      </c>
      <c r="E409" s="4"/>
      <c r="F409" s="4">
        <v>97000</v>
      </c>
      <c r="G409" s="5">
        <f t="shared" si="15"/>
        <v>254894769.63000003</v>
      </c>
    </row>
    <row r="410" spans="2:7" ht="18.75" customHeight="1">
      <c r="B410" s="1">
        <v>405</v>
      </c>
      <c r="C410" s="2">
        <v>46280</v>
      </c>
      <c r="D410" s="36" t="s">
        <v>307</v>
      </c>
      <c r="E410" s="4"/>
      <c r="F410" s="4">
        <v>153000</v>
      </c>
      <c r="G410" s="5">
        <f t="shared" si="15"/>
        <v>254741769.63000003</v>
      </c>
    </row>
    <row r="411" spans="2:7" ht="18.75" customHeight="1">
      <c r="B411" s="1">
        <v>406</v>
      </c>
      <c r="C411" s="2">
        <v>46280</v>
      </c>
      <c r="D411" s="36" t="s">
        <v>308</v>
      </c>
      <c r="E411" s="4"/>
      <c r="F411" s="4">
        <v>73000</v>
      </c>
      <c r="G411" s="5">
        <f t="shared" si="15"/>
        <v>254668769.63000003</v>
      </c>
    </row>
    <row r="412" spans="2:7" ht="18.75" customHeight="1">
      <c r="B412" s="1">
        <v>407</v>
      </c>
      <c r="C412" s="2">
        <v>46280</v>
      </c>
      <c r="D412" s="36" t="s">
        <v>174</v>
      </c>
      <c r="E412" s="4"/>
      <c r="F412" s="4">
        <v>66500</v>
      </c>
      <c r="G412" s="5">
        <f t="shared" si="15"/>
        <v>254602269.63000003</v>
      </c>
    </row>
    <row r="413" spans="2:7" ht="18.75" customHeight="1">
      <c r="B413" s="1">
        <v>408</v>
      </c>
      <c r="C413" s="2">
        <v>46281</v>
      </c>
      <c r="D413" s="32" t="s">
        <v>85</v>
      </c>
      <c r="E413" s="4"/>
      <c r="F413" s="4">
        <v>2800000</v>
      </c>
      <c r="G413" s="5">
        <f t="shared" si="15"/>
        <v>251802269.63000003</v>
      </c>
    </row>
    <row r="414" spans="2:7" ht="18.75" customHeight="1">
      <c r="B414" s="1">
        <v>409</v>
      </c>
      <c r="C414" s="2">
        <v>46281</v>
      </c>
      <c r="D414" s="40" t="s">
        <v>309</v>
      </c>
      <c r="E414" s="4"/>
      <c r="F414" s="4">
        <v>100000</v>
      </c>
      <c r="G414" s="5">
        <f t="shared" si="15"/>
        <v>251702269.63000003</v>
      </c>
    </row>
    <row r="415" spans="2:7" ht="18.75" customHeight="1">
      <c r="B415" s="1">
        <v>410</v>
      </c>
      <c r="C415" s="2">
        <v>46281</v>
      </c>
      <c r="D415" s="36" t="s">
        <v>310</v>
      </c>
      <c r="E415" s="4"/>
      <c r="F415" s="4">
        <v>149000</v>
      </c>
      <c r="G415" s="5">
        <f t="shared" si="15"/>
        <v>251553269.63000003</v>
      </c>
    </row>
    <row r="416" spans="2:7" ht="18.75" customHeight="1">
      <c r="B416" s="1">
        <v>411</v>
      </c>
      <c r="C416" s="2">
        <v>46281</v>
      </c>
      <c r="D416" s="36" t="s">
        <v>296</v>
      </c>
      <c r="E416" s="4"/>
      <c r="F416" s="4">
        <v>211000</v>
      </c>
      <c r="G416" s="5">
        <f t="shared" si="15"/>
        <v>251342269.63000003</v>
      </c>
    </row>
    <row r="417" spans="2:7" ht="18.75" customHeight="1">
      <c r="B417" s="1">
        <v>412</v>
      </c>
      <c r="C417" s="2">
        <v>46281</v>
      </c>
      <c r="D417" s="36" t="s">
        <v>311</v>
      </c>
      <c r="E417" s="4"/>
      <c r="F417" s="4">
        <v>63000</v>
      </c>
      <c r="G417" s="5">
        <f t="shared" si="15"/>
        <v>251279269.63000003</v>
      </c>
    </row>
    <row r="418" spans="2:7" ht="18.75" customHeight="1">
      <c r="B418" s="1">
        <v>413</v>
      </c>
      <c r="C418" s="2">
        <v>46282</v>
      </c>
      <c r="D418" s="28" t="s">
        <v>96</v>
      </c>
      <c r="E418" s="4"/>
      <c r="F418" s="4">
        <v>487900</v>
      </c>
      <c r="G418" s="5">
        <f t="shared" si="15"/>
        <v>250791369.63000003</v>
      </c>
    </row>
    <row r="419" spans="2:7" ht="18.75" customHeight="1">
      <c r="B419" s="1">
        <v>414</v>
      </c>
      <c r="C419" s="2">
        <v>46282</v>
      </c>
      <c r="D419" s="28" t="s">
        <v>312</v>
      </c>
      <c r="E419" s="4"/>
      <c r="F419" s="4">
        <v>337000</v>
      </c>
      <c r="G419" s="5">
        <f t="shared" si="15"/>
        <v>250454369.63000003</v>
      </c>
    </row>
    <row r="420" spans="2:7" ht="18.75" customHeight="1">
      <c r="B420" s="1">
        <v>415</v>
      </c>
      <c r="C420" s="2">
        <v>46283</v>
      </c>
      <c r="D420" s="36" t="s">
        <v>276</v>
      </c>
      <c r="E420" s="4"/>
      <c r="F420" s="4">
        <v>148500</v>
      </c>
      <c r="G420" s="5">
        <f t="shared" si="15"/>
        <v>250305869.63000003</v>
      </c>
    </row>
    <row r="421" spans="2:7" ht="18.75" customHeight="1">
      <c r="B421" s="1">
        <v>416</v>
      </c>
      <c r="C421" s="2">
        <v>46283</v>
      </c>
      <c r="D421" s="28" t="s">
        <v>101</v>
      </c>
      <c r="E421" s="4"/>
      <c r="F421" s="4">
        <v>100000</v>
      </c>
      <c r="G421" s="5">
        <f t="shared" si="15"/>
        <v>250205869.63000003</v>
      </c>
    </row>
    <row r="422" spans="2:7" ht="18.75" customHeight="1">
      <c r="B422" s="1">
        <v>417</v>
      </c>
      <c r="C422" s="2">
        <v>46283</v>
      </c>
      <c r="D422" s="36" t="s">
        <v>310</v>
      </c>
      <c r="E422" s="4"/>
      <c r="F422" s="4">
        <v>154000</v>
      </c>
      <c r="G422" s="5">
        <f t="shared" si="15"/>
        <v>250051869.63000003</v>
      </c>
    </row>
    <row r="423" spans="2:7" ht="18.75" customHeight="1">
      <c r="B423" s="1">
        <v>418</v>
      </c>
      <c r="C423" s="2">
        <v>46286</v>
      </c>
      <c r="D423" s="36" t="s">
        <v>313</v>
      </c>
      <c r="E423" s="4"/>
      <c r="F423" s="4">
        <v>191000</v>
      </c>
      <c r="G423" s="5">
        <f t="shared" si="15"/>
        <v>249860869.63000003</v>
      </c>
    </row>
    <row r="424" spans="2:7" ht="18.75" customHeight="1">
      <c r="B424" s="1">
        <v>419</v>
      </c>
      <c r="C424" s="2">
        <v>46288</v>
      </c>
      <c r="D424" s="12" t="s">
        <v>314</v>
      </c>
      <c r="E424" s="4">
        <f>'FG House - Harapan Mulya'!G43</f>
        <v>20685625</v>
      </c>
      <c r="F424" s="4"/>
      <c r="G424" s="5">
        <f>G423+E424</f>
        <v>270546494.63</v>
      </c>
    </row>
    <row r="425" spans="2:7" ht="18.75" customHeight="1">
      <c r="B425" s="1">
        <v>420</v>
      </c>
      <c r="C425" s="2">
        <v>46289</v>
      </c>
      <c r="D425" s="36" t="s">
        <v>148</v>
      </c>
      <c r="E425" s="4"/>
      <c r="F425" s="4">
        <v>125000</v>
      </c>
      <c r="G425" s="5">
        <f>G424-F425</f>
        <v>270421494.63</v>
      </c>
    </row>
    <row r="426" spans="2:7" ht="18.75" customHeight="1">
      <c r="B426" s="1">
        <v>421</v>
      </c>
      <c r="C426" s="2">
        <v>46289</v>
      </c>
      <c r="D426" s="12" t="s">
        <v>315</v>
      </c>
      <c r="E426" s="4">
        <f>'3HI Office - Kemayoran'!G43</f>
        <v>70213010</v>
      </c>
      <c r="F426" s="4"/>
      <c r="G426" s="5">
        <f>G425+E426</f>
        <v>340634504.63</v>
      </c>
    </row>
    <row r="427" spans="2:7" ht="18.75" customHeight="1">
      <c r="B427" s="1">
        <v>422</v>
      </c>
      <c r="C427" s="2">
        <v>46290</v>
      </c>
      <c r="D427" s="36" t="s">
        <v>316</v>
      </c>
      <c r="E427" s="4"/>
      <c r="F427" s="4">
        <v>52000</v>
      </c>
      <c r="G427" s="5">
        <f>G426-F427</f>
        <v>340582504.63</v>
      </c>
    </row>
    <row r="428" spans="2:7" ht="18.75" customHeight="1">
      <c r="B428" s="1">
        <v>423</v>
      </c>
      <c r="C428" s="2">
        <v>46290</v>
      </c>
      <c r="D428" s="28" t="s">
        <v>101</v>
      </c>
      <c r="E428" s="4"/>
      <c r="F428" s="4">
        <v>201500</v>
      </c>
      <c r="G428" s="5">
        <f>G427-F428</f>
        <v>340381004.63</v>
      </c>
    </row>
    <row r="429" spans="2:7" ht="18.75" customHeight="1">
      <c r="B429" s="1">
        <v>424</v>
      </c>
      <c r="C429" s="2">
        <v>46291</v>
      </c>
      <c r="D429" s="21" t="s">
        <v>317</v>
      </c>
      <c r="E429" s="4"/>
      <c r="F429" s="4">
        <v>7500000</v>
      </c>
      <c r="G429" s="5">
        <f>G428-F429</f>
        <v>332881004.63</v>
      </c>
    </row>
    <row r="430" spans="2:7" ht="18.75" customHeight="1">
      <c r="B430" s="1">
        <v>425</v>
      </c>
      <c r="C430" s="2">
        <v>46291</v>
      </c>
      <c r="D430" s="21" t="s">
        <v>318</v>
      </c>
      <c r="E430" s="4"/>
      <c r="F430" s="4">
        <v>7500000</v>
      </c>
      <c r="G430" s="5">
        <f>G429-F430</f>
        <v>325381004.63</v>
      </c>
    </row>
    <row r="431" spans="2:7" ht="18.75" customHeight="1">
      <c r="B431" s="1">
        <v>426</v>
      </c>
      <c r="C431" s="2">
        <v>46291</v>
      </c>
      <c r="D431" s="40" t="s">
        <v>319</v>
      </c>
      <c r="E431" s="4"/>
      <c r="F431" s="4">
        <v>500000</v>
      </c>
      <c r="G431" s="5">
        <f>G430-F431</f>
        <v>324881004.63</v>
      </c>
    </row>
    <row r="432" spans="2:7" ht="18.75" customHeight="1">
      <c r="B432" s="1">
        <v>427</v>
      </c>
      <c r="C432" s="2">
        <v>46293</v>
      </c>
      <c r="D432" s="36" t="s">
        <v>320</v>
      </c>
      <c r="E432" s="4"/>
      <c r="F432" s="4">
        <v>253000</v>
      </c>
      <c r="G432" s="5">
        <f>G431-F432</f>
        <v>324628004.63</v>
      </c>
    </row>
    <row r="433" spans="2:7" ht="18.75" customHeight="1">
      <c r="B433" s="1">
        <v>428</v>
      </c>
      <c r="C433" s="2">
        <v>46293</v>
      </c>
      <c r="D433" s="28" t="s">
        <v>321</v>
      </c>
      <c r="E433" s="4"/>
      <c r="F433" s="4">
        <v>400000</v>
      </c>
      <c r="G433" s="5">
        <f>G432-F433</f>
        <v>324228004.63</v>
      </c>
    </row>
    <row r="434" spans="2:7" ht="18.75" customHeight="1">
      <c r="B434" s="1">
        <v>429</v>
      </c>
      <c r="C434" s="2">
        <v>46293</v>
      </c>
      <c r="D434" s="43" t="s">
        <v>322</v>
      </c>
      <c r="E434" s="4"/>
      <c r="F434" s="4">
        <v>405000</v>
      </c>
      <c r="G434" s="5">
        <f>G433-F434</f>
        <v>323823004.63</v>
      </c>
    </row>
    <row r="435" spans="2:7" ht="18.75" customHeight="1">
      <c r="B435" s="1">
        <v>430</v>
      </c>
      <c r="C435" s="2">
        <v>46293</v>
      </c>
      <c r="D435" s="32" t="s">
        <v>323</v>
      </c>
      <c r="E435" s="4"/>
      <c r="F435" s="4">
        <v>3750000</v>
      </c>
      <c r="G435" s="5">
        <f>G434-F435</f>
        <v>320073004.63</v>
      </c>
    </row>
    <row r="436" spans="2:7" ht="18.75" customHeight="1">
      <c r="B436" s="1">
        <v>431</v>
      </c>
      <c r="C436" s="2">
        <v>46294</v>
      </c>
      <c r="D436" s="36" t="s">
        <v>324</v>
      </c>
      <c r="E436" s="4"/>
      <c r="F436" s="4">
        <v>27000</v>
      </c>
      <c r="G436" s="5">
        <f t="shared" ref="G436:G440" si="16">G435-F436</f>
        <v>320046004.63</v>
      </c>
    </row>
    <row r="437" spans="2:7" ht="18.75" customHeight="1">
      <c r="B437" s="1">
        <v>432</v>
      </c>
      <c r="C437" s="2">
        <v>46294</v>
      </c>
      <c r="D437" s="36" t="s">
        <v>104</v>
      </c>
      <c r="E437" s="4"/>
      <c r="F437" s="4">
        <v>83200</v>
      </c>
      <c r="G437" s="5">
        <f t="shared" si="16"/>
        <v>319962804.63</v>
      </c>
    </row>
    <row r="438" spans="2:7" ht="18.75" customHeight="1">
      <c r="B438" s="1">
        <v>433</v>
      </c>
      <c r="C438" s="2">
        <v>46294</v>
      </c>
      <c r="D438" s="36" t="s">
        <v>325</v>
      </c>
      <c r="E438" s="4"/>
      <c r="F438" s="4">
        <v>115000</v>
      </c>
      <c r="G438" s="5">
        <f t="shared" si="16"/>
        <v>319847804.63</v>
      </c>
    </row>
    <row r="439" spans="2:7" ht="18.75" customHeight="1">
      <c r="B439" s="1">
        <v>434</v>
      </c>
      <c r="C439" s="2">
        <v>46295</v>
      </c>
      <c r="D439" s="36" t="s">
        <v>326</v>
      </c>
      <c r="E439" s="4"/>
      <c r="F439" s="4">
        <v>53000</v>
      </c>
      <c r="G439" s="5">
        <f t="shared" si="16"/>
        <v>319794804.63</v>
      </c>
    </row>
    <row r="440" spans="2:7" ht="18.75" customHeight="1">
      <c r="B440" s="1">
        <v>435</v>
      </c>
      <c r="C440" s="2">
        <v>46295</v>
      </c>
      <c r="D440" s="21" t="s">
        <v>327</v>
      </c>
      <c r="E440" s="4"/>
      <c r="F440" s="4">
        <v>2500000</v>
      </c>
      <c r="G440" s="5">
        <f t="shared" si="16"/>
        <v>317294804.63</v>
      </c>
    </row>
    <row r="441" spans="2:7" ht="18.75" customHeight="1">
      <c r="B441" s="1">
        <v>436</v>
      </c>
      <c r="C441" s="2">
        <v>46295</v>
      </c>
      <c r="D441" s="31" t="s">
        <v>67</v>
      </c>
      <c r="E441" s="4">
        <v>1471.21</v>
      </c>
      <c r="F441" s="4"/>
      <c r="G441" s="5">
        <f>G440+E441</f>
        <v>317296275.83999997</v>
      </c>
    </row>
    <row r="442" spans="2:7" ht="18.75" customHeight="1">
      <c r="B442" s="1">
        <v>437</v>
      </c>
      <c r="C442" s="2">
        <v>46295</v>
      </c>
      <c r="D442" s="31" t="s">
        <v>68</v>
      </c>
      <c r="E442" s="4"/>
      <c r="F442" s="4">
        <v>294.24</v>
      </c>
      <c r="G442" s="5">
        <f>G441-F442</f>
        <v>317295981.59999996</v>
      </c>
    </row>
    <row r="443" spans="2:7" ht="18.75" customHeight="1">
      <c r="B443" s="1">
        <v>438</v>
      </c>
      <c r="C443" s="2">
        <v>46296</v>
      </c>
      <c r="D443" s="36" t="s">
        <v>276</v>
      </c>
      <c r="E443" s="4"/>
      <c r="F443" s="4">
        <v>70000</v>
      </c>
      <c r="G443" s="5">
        <f t="shared" ref="G443:G451" si="17">G442-F443</f>
        <v>317225981.59999996</v>
      </c>
    </row>
    <row r="444" spans="2:7" ht="18.75" customHeight="1">
      <c r="B444" s="1">
        <v>439</v>
      </c>
      <c r="C444" s="2">
        <v>46296</v>
      </c>
      <c r="D444" s="36" t="s">
        <v>204</v>
      </c>
      <c r="E444" s="4"/>
      <c r="F444" s="4">
        <v>40000</v>
      </c>
      <c r="G444" s="5">
        <f t="shared" si="17"/>
        <v>317185981.59999996</v>
      </c>
    </row>
    <row r="445" spans="2:7" ht="18.75" customHeight="1">
      <c r="B445" s="1">
        <v>440</v>
      </c>
      <c r="C445" s="2">
        <v>46296</v>
      </c>
      <c r="D445" s="43" t="s">
        <v>328</v>
      </c>
      <c r="E445" s="4"/>
      <c r="F445" s="4">
        <v>354736</v>
      </c>
      <c r="G445" s="5">
        <f t="shared" si="17"/>
        <v>316831245.59999996</v>
      </c>
    </row>
    <row r="446" spans="2:7" ht="18.75" customHeight="1">
      <c r="B446" s="1">
        <v>441</v>
      </c>
      <c r="C446" s="2">
        <v>46297</v>
      </c>
      <c r="D446" s="28" t="s">
        <v>101</v>
      </c>
      <c r="E446" s="4"/>
      <c r="F446" s="4">
        <v>191500</v>
      </c>
      <c r="G446" s="5">
        <f t="shared" si="17"/>
        <v>316639745.59999996</v>
      </c>
    </row>
    <row r="447" spans="2:7" ht="18.75" customHeight="1">
      <c r="B447" s="1">
        <v>442</v>
      </c>
      <c r="C447" s="2">
        <v>46297</v>
      </c>
      <c r="D447" s="28" t="s">
        <v>96</v>
      </c>
      <c r="E447" s="4"/>
      <c r="F447" s="4">
        <v>689900</v>
      </c>
      <c r="G447" s="5">
        <f t="shared" si="17"/>
        <v>315949845.59999996</v>
      </c>
    </row>
    <row r="448" spans="2:7" ht="18.75" customHeight="1">
      <c r="B448" s="1">
        <v>443</v>
      </c>
      <c r="C448" s="2">
        <v>46297</v>
      </c>
      <c r="D448" s="36" t="s">
        <v>329</v>
      </c>
      <c r="E448" s="4"/>
      <c r="F448" s="4">
        <v>614000</v>
      </c>
      <c r="G448" s="5">
        <f t="shared" si="17"/>
        <v>315335845.59999996</v>
      </c>
    </row>
    <row r="449" spans="2:7" ht="18.75" customHeight="1">
      <c r="B449" s="1">
        <v>444</v>
      </c>
      <c r="C449" s="2">
        <v>46297</v>
      </c>
      <c r="D449" s="40" t="s">
        <v>330</v>
      </c>
      <c r="E449" s="4"/>
      <c r="F449" s="4">
        <v>717800</v>
      </c>
      <c r="G449" s="5">
        <f t="shared" si="17"/>
        <v>314618045.59999996</v>
      </c>
    </row>
    <row r="450" spans="2:7" ht="18.75" customHeight="1">
      <c r="B450" s="1">
        <v>445</v>
      </c>
      <c r="C450" s="2">
        <v>46297</v>
      </c>
      <c r="D450" s="40" t="s">
        <v>331</v>
      </c>
      <c r="E450" s="4"/>
      <c r="F450" s="4">
        <v>1047000</v>
      </c>
      <c r="G450" s="5">
        <f t="shared" si="17"/>
        <v>313571045.59999996</v>
      </c>
    </row>
    <row r="451" spans="2:7" ht="18.75" customHeight="1">
      <c r="B451" s="1">
        <v>446</v>
      </c>
      <c r="C451" s="2">
        <v>46297</v>
      </c>
      <c r="D451" s="36" t="s">
        <v>310</v>
      </c>
      <c r="E451" s="4"/>
      <c r="F451" s="4">
        <v>167000</v>
      </c>
      <c r="G451" s="5">
        <f t="shared" si="17"/>
        <v>313404045.59999996</v>
      </c>
    </row>
    <row r="452" spans="2:7" ht="18.75" customHeight="1">
      <c r="B452" s="1">
        <v>447</v>
      </c>
      <c r="C452" s="2">
        <v>46297</v>
      </c>
      <c r="D452" s="12" t="s">
        <v>332</v>
      </c>
      <c r="E452" s="4">
        <f>'Charity House - Bintaro'!G43</f>
        <v>61992000</v>
      </c>
      <c r="F452" s="4"/>
      <c r="G452" s="5">
        <f>G451+E452</f>
        <v>375396045.59999996</v>
      </c>
    </row>
    <row r="453" spans="2:7" ht="18.75" customHeight="1">
      <c r="B453" s="1">
        <v>448</v>
      </c>
      <c r="C453" s="2">
        <v>46297</v>
      </c>
      <c r="D453" s="31" t="s">
        <v>58</v>
      </c>
      <c r="E453" s="4"/>
      <c r="F453" s="4">
        <v>10000</v>
      </c>
      <c r="G453" s="5">
        <f>G452-F453</f>
        <v>375386045.59999996</v>
      </c>
    </row>
    <row r="454" spans="2:7" ht="18.75" customHeight="1">
      <c r="B454" s="1">
        <v>449</v>
      </c>
      <c r="C454" s="2">
        <v>46300</v>
      </c>
      <c r="D454" s="36" t="s">
        <v>97</v>
      </c>
      <c r="E454" s="4"/>
      <c r="F454" s="4">
        <v>40000</v>
      </c>
      <c r="G454" s="5">
        <f t="shared" ref="G454:G461" si="18">G453-F454</f>
        <v>375346045.59999996</v>
      </c>
    </row>
    <row r="455" spans="2:7" ht="18.75" customHeight="1">
      <c r="B455" s="1">
        <v>450</v>
      </c>
      <c r="C455" s="2">
        <v>46301</v>
      </c>
      <c r="D455" s="28" t="s">
        <v>333</v>
      </c>
      <c r="E455" s="4"/>
      <c r="F455" s="4">
        <v>500000</v>
      </c>
      <c r="G455" s="5">
        <f t="shared" si="18"/>
        <v>374846045.59999996</v>
      </c>
    </row>
    <row r="456" spans="2:7" ht="18.75" customHeight="1">
      <c r="B456" s="1">
        <v>451</v>
      </c>
      <c r="C456" s="2">
        <v>46301</v>
      </c>
      <c r="D456" s="36" t="s">
        <v>334</v>
      </c>
      <c r="E456" s="4"/>
      <c r="F456" s="4">
        <v>200000</v>
      </c>
      <c r="G456" s="5">
        <f t="shared" si="18"/>
        <v>374646045.59999996</v>
      </c>
    </row>
    <row r="457" spans="2:7" ht="18.75" customHeight="1">
      <c r="B457" s="1">
        <v>452</v>
      </c>
      <c r="C457" s="2">
        <v>46301</v>
      </c>
      <c r="D457" s="36" t="s">
        <v>125</v>
      </c>
      <c r="E457" s="4"/>
      <c r="F457" s="4">
        <v>176000</v>
      </c>
      <c r="G457" s="5">
        <f t="shared" si="18"/>
        <v>374470045.59999996</v>
      </c>
    </row>
    <row r="458" spans="2:7" ht="18.75" customHeight="1">
      <c r="B458" s="1">
        <v>453</v>
      </c>
      <c r="C458" s="2">
        <v>46301</v>
      </c>
      <c r="D458" s="36" t="s">
        <v>276</v>
      </c>
      <c r="E458" s="4"/>
      <c r="F458" s="4">
        <v>200418</v>
      </c>
      <c r="G458" s="5">
        <f t="shared" si="18"/>
        <v>374269627.59999996</v>
      </c>
    </row>
    <row r="459" spans="2:7" ht="18.75" customHeight="1">
      <c r="B459" s="1">
        <v>454</v>
      </c>
      <c r="C459" s="2">
        <v>46302</v>
      </c>
      <c r="D459" s="36" t="s">
        <v>335</v>
      </c>
      <c r="E459" s="4"/>
      <c r="F459" s="4">
        <v>200000</v>
      </c>
      <c r="G459" s="5">
        <f t="shared" si="18"/>
        <v>374069627.59999996</v>
      </c>
    </row>
    <row r="460" spans="2:7" ht="18.75" customHeight="1">
      <c r="B460" s="1">
        <v>455</v>
      </c>
      <c r="C460" s="2">
        <v>46302</v>
      </c>
      <c r="D460" s="36" t="s">
        <v>156</v>
      </c>
      <c r="E460" s="4"/>
      <c r="F460" s="4">
        <v>135500</v>
      </c>
      <c r="G460" s="5">
        <f t="shared" si="18"/>
        <v>373934127.59999996</v>
      </c>
    </row>
    <row r="461" spans="2:7" ht="18.75" customHeight="1">
      <c r="B461" s="1">
        <v>456</v>
      </c>
      <c r="C461" s="2">
        <v>46303</v>
      </c>
      <c r="D461" s="36" t="s">
        <v>141</v>
      </c>
      <c r="E461" s="4"/>
      <c r="F461" s="4">
        <f>269500+67000</f>
        <v>336500</v>
      </c>
      <c r="G461" s="5">
        <f t="shared" si="18"/>
        <v>373597627.59999996</v>
      </c>
    </row>
    <row r="462" spans="2:7" ht="18.75" customHeight="1">
      <c r="B462" s="1">
        <v>457</v>
      </c>
      <c r="C462" s="2">
        <v>46303</v>
      </c>
      <c r="D462" s="10" t="s">
        <v>276</v>
      </c>
      <c r="E462" s="4"/>
      <c r="F462" s="4">
        <v>11000</v>
      </c>
      <c r="G462" s="5"/>
    </row>
    <row r="463" spans="2:7" ht="18.75" customHeight="1">
      <c r="B463" s="1">
        <v>458</v>
      </c>
      <c r="C463" s="2">
        <v>46304</v>
      </c>
      <c r="D463" s="10" t="s">
        <v>240</v>
      </c>
      <c r="E463" s="4"/>
      <c r="F463" s="4">
        <v>34000</v>
      </c>
      <c r="G463" s="5"/>
    </row>
    <row r="464" spans="2:7" ht="18.75" customHeight="1">
      <c r="B464" s="1">
        <v>459</v>
      </c>
      <c r="C464" s="2">
        <v>46304</v>
      </c>
      <c r="D464" s="10" t="s">
        <v>297</v>
      </c>
      <c r="E464" s="4"/>
      <c r="F464" s="4">
        <v>160000</v>
      </c>
      <c r="G464" s="5"/>
    </row>
    <row r="465" spans="2:9" ht="18.75" customHeight="1">
      <c r="B465" s="1">
        <v>460</v>
      </c>
      <c r="C465" s="2">
        <v>46304</v>
      </c>
      <c r="D465" s="10" t="s">
        <v>101</v>
      </c>
      <c r="E465" s="4"/>
      <c r="F465" s="4">
        <v>223200</v>
      </c>
      <c r="G465" s="5"/>
    </row>
    <row r="466" spans="2:9" ht="18.75" customHeight="1">
      <c r="B466" s="1">
        <v>461</v>
      </c>
      <c r="C466" s="2">
        <v>46304</v>
      </c>
      <c r="D466" s="10" t="s">
        <v>336</v>
      </c>
      <c r="E466" s="4"/>
      <c r="F466" s="4">
        <v>77000</v>
      </c>
      <c r="G466" s="5"/>
    </row>
    <row r="467" spans="2:9" ht="18.75" customHeight="1">
      <c r="B467" s="1">
        <v>462</v>
      </c>
      <c r="C467" s="2">
        <v>46305</v>
      </c>
      <c r="D467" s="10" t="s">
        <v>154</v>
      </c>
      <c r="E467" s="4"/>
      <c r="F467" s="4">
        <v>45400</v>
      </c>
      <c r="G467" s="5"/>
    </row>
    <row r="468" spans="2:9" ht="18.75" customHeight="1">
      <c r="B468" s="1"/>
      <c r="C468" s="2"/>
      <c r="D468" s="10"/>
      <c r="E468" s="4"/>
      <c r="F468" s="4"/>
      <c r="G468" s="5"/>
    </row>
    <row r="469" spans="2:9" ht="18.75" customHeight="1">
      <c r="B469" s="1"/>
      <c r="C469" s="2"/>
      <c r="D469" s="10"/>
      <c r="E469" s="4"/>
      <c r="F469" s="4"/>
      <c r="G469" s="5"/>
    </row>
    <row r="470" spans="2:9" ht="18.75" customHeight="1">
      <c r="B470" s="1"/>
      <c r="C470" s="2"/>
      <c r="D470" s="10"/>
      <c r="E470" s="4"/>
      <c r="F470" s="4"/>
      <c r="G470" s="5"/>
    </row>
    <row r="471" spans="2:9" ht="18.75" customHeight="1">
      <c r="B471" s="1"/>
      <c r="C471" s="2"/>
      <c r="D471" s="10"/>
      <c r="E471" s="4"/>
      <c r="F471" s="4"/>
      <c r="G471" s="5"/>
    </row>
    <row r="472" spans="2:9" ht="18.75" customHeight="1" thickBot="1">
      <c r="B472" s="1"/>
      <c r="C472" s="2"/>
      <c r="D472" s="10"/>
      <c r="E472" s="4"/>
      <c r="F472" s="4"/>
      <c r="G472" s="5"/>
    </row>
    <row r="473" spans="2:9" ht="18.75" customHeight="1">
      <c r="B473" s="66" t="s">
        <v>337</v>
      </c>
      <c r="C473" s="97"/>
      <c r="D473" s="67"/>
      <c r="E473" s="9">
        <f>SUM(E7:E472)</f>
        <v>659005827.35000014</v>
      </c>
      <c r="F473" s="9">
        <f>SUM(F7:F472)</f>
        <v>285958799.75</v>
      </c>
      <c r="G473" s="60">
        <f>E473-F473</f>
        <v>373047027.60000014</v>
      </c>
    </row>
    <row r="475" spans="2:9">
      <c r="F475" t="s">
        <v>49</v>
      </c>
      <c r="G475" s="47">
        <f>30000000+15000000+1000000+5000000+10000000+10000000+2500000</f>
        <v>73500000</v>
      </c>
      <c r="I475" s="35">
        <f>100000000-G475</f>
        <v>26500000</v>
      </c>
    </row>
    <row r="476" spans="2:9">
      <c r="F476" t="s">
        <v>50</v>
      </c>
      <c r="G476" s="47">
        <f>8000000+5000000-1000000+102108600-997500</f>
        <v>113111100</v>
      </c>
      <c r="I476" s="35">
        <f>200000000-G476</f>
        <v>86888900</v>
      </c>
    </row>
    <row r="477" spans="2:9">
      <c r="F477" t="s">
        <v>51</v>
      </c>
      <c r="G477" s="47">
        <f>5000000+181783595+1600000</f>
        <v>188383595</v>
      </c>
      <c r="I477" s="35">
        <f>200000000-G477</f>
        <v>11616405</v>
      </c>
    </row>
    <row r="478" spans="2:9">
      <c r="G478" s="47"/>
    </row>
    <row r="479" spans="2:9">
      <c r="G479" s="47">
        <f>G473-SUM(G475:G477)</f>
        <v>-1947667.3999998569</v>
      </c>
    </row>
    <row r="480" spans="2:9">
      <c r="G480" s="48"/>
    </row>
  </sheetData>
  <mergeCells count="5">
    <mergeCell ref="B2:G2"/>
    <mergeCell ref="B4:G4"/>
    <mergeCell ref="B5:G5"/>
    <mergeCell ref="B473:D473"/>
    <mergeCell ref="B3:G3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AAB2-2EBA-FB44-AB8A-2DB566814B87}">
  <dimension ref="B1:J44"/>
  <sheetViews>
    <sheetView workbookViewId="0">
      <selection activeCell="F14" sqref="F14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338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46288</v>
      </c>
      <c r="D7" s="3" t="s">
        <v>339</v>
      </c>
      <c r="E7" s="4">
        <v>100000000</v>
      </c>
      <c r="F7" s="4"/>
      <c r="G7" s="5"/>
      <c r="I7" s="16" t="s">
        <v>27</v>
      </c>
      <c r="J7" s="39">
        <f>SUM(F8,F10:F12)</f>
        <v>29360000</v>
      </c>
    </row>
    <row r="8" spans="2:10" ht="18.75" customHeight="1">
      <c r="B8" s="1">
        <v>2</v>
      </c>
      <c r="C8" s="2">
        <v>46300</v>
      </c>
      <c r="D8" s="3" t="s">
        <v>340</v>
      </c>
      <c r="E8" s="4"/>
      <c r="F8" s="33">
        <v>3513000</v>
      </c>
      <c r="G8" s="5"/>
      <c r="I8" s="17" t="s">
        <v>28</v>
      </c>
      <c r="J8" s="5">
        <f>F9</f>
        <v>1000000</v>
      </c>
    </row>
    <row r="9" spans="2:10" ht="18.75" customHeight="1">
      <c r="B9" s="1">
        <v>3</v>
      </c>
      <c r="C9" s="2">
        <v>46300</v>
      </c>
      <c r="D9" s="3" t="s">
        <v>341</v>
      </c>
      <c r="E9" s="4"/>
      <c r="F9" s="34">
        <v>1000000</v>
      </c>
      <c r="G9" s="5"/>
      <c r="I9" s="18" t="s">
        <v>29</v>
      </c>
      <c r="J9" s="5"/>
    </row>
    <row r="10" spans="2:10" ht="18.75" customHeight="1" thickBot="1">
      <c r="B10" s="1">
        <v>4</v>
      </c>
      <c r="C10" s="2">
        <v>46301</v>
      </c>
      <c r="D10" s="3" t="s">
        <v>342</v>
      </c>
      <c r="E10" s="4"/>
      <c r="F10" s="33">
        <v>2500000</v>
      </c>
      <c r="G10" s="5"/>
      <c r="I10" s="37" t="s">
        <v>30</v>
      </c>
      <c r="J10" s="15"/>
    </row>
    <row r="11" spans="2:10" ht="18.75" customHeight="1" thickTop="1">
      <c r="B11" s="1">
        <v>5</v>
      </c>
      <c r="C11" s="2">
        <v>46301</v>
      </c>
      <c r="D11" s="3" t="s">
        <v>343</v>
      </c>
      <c r="E11" s="4"/>
      <c r="F11" s="33">
        <v>21382000</v>
      </c>
      <c r="G11" s="5"/>
      <c r="J11" s="35">
        <f>SUM(J7:J10)</f>
        <v>30360000</v>
      </c>
    </row>
    <row r="12" spans="2:10" ht="18.75" customHeight="1">
      <c r="B12" s="1">
        <v>6</v>
      </c>
      <c r="C12" s="2">
        <v>46301</v>
      </c>
      <c r="D12" s="3" t="s">
        <v>344</v>
      </c>
      <c r="E12" s="4"/>
      <c r="F12" s="33">
        <v>1965000</v>
      </c>
      <c r="G12" s="5"/>
      <c r="J12" s="35"/>
    </row>
    <row r="13" spans="2:10" ht="18.75" customHeight="1">
      <c r="B13" s="1">
        <v>7</v>
      </c>
      <c r="C13" s="2">
        <v>46304</v>
      </c>
      <c r="D13" s="3" t="s">
        <v>340</v>
      </c>
      <c r="E13" s="4"/>
      <c r="F13" s="4">
        <v>1125000</v>
      </c>
      <c r="G13" s="5"/>
      <c r="J13" s="35"/>
    </row>
    <row r="14" spans="2:10" ht="18.75" customHeight="1">
      <c r="B14" s="1">
        <v>8</v>
      </c>
      <c r="C14" s="2">
        <v>46304</v>
      </c>
      <c r="D14" s="3" t="s">
        <v>345</v>
      </c>
      <c r="E14" s="4"/>
      <c r="F14" s="4">
        <v>6523000</v>
      </c>
      <c r="G14" s="5"/>
      <c r="J14" s="35"/>
    </row>
    <row r="15" spans="2:10" ht="18.75" customHeight="1">
      <c r="B15" s="1">
        <v>9</v>
      </c>
      <c r="C15" s="2"/>
      <c r="D15" s="3"/>
      <c r="E15" s="4"/>
      <c r="F15" s="4"/>
      <c r="G15" s="5"/>
    </row>
    <row r="16" spans="2:10" ht="18.75" customHeight="1">
      <c r="B16" s="1">
        <v>10</v>
      </c>
      <c r="C16" s="2"/>
      <c r="D16" s="3"/>
      <c r="E16" s="4"/>
      <c r="F16" s="4"/>
      <c r="G16" s="5"/>
    </row>
    <row r="17" spans="2:7" ht="18.75" customHeight="1">
      <c r="B17" s="1">
        <v>11</v>
      </c>
      <c r="C17" s="2"/>
      <c r="D17" s="3"/>
      <c r="E17" s="4"/>
      <c r="F17" s="4"/>
      <c r="G17" s="5"/>
    </row>
    <row r="18" spans="2:7" ht="18.75" customHeight="1">
      <c r="B18" s="1">
        <v>12</v>
      </c>
      <c r="C18" s="2"/>
      <c r="D18" s="3"/>
      <c r="E18" s="4"/>
      <c r="F18" s="4"/>
      <c r="G18" s="5"/>
    </row>
    <row r="19" spans="2:7" ht="18.75" customHeight="1">
      <c r="B19" s="1">
        <v>13</v>
      </c>
      <c r="C19" s="2"/>
      <c r="D19" s="3"/>
      <c r="E19" s="4"/>
      <c r="F19" s="4"/>
      <c r="G19" s="5"/>
    </row>
    <row r="20" spans="2:7" ht="18.75" customHeight="1">
      <c r="B20" s="1">
        <v>14</v>
      </c>
      <c r="C20" s="2"/>
      <c r="D20" s="3"/>
      <c r="E20" s="4"/>
      <c r="F20" s="4"/>
      <c r="G20" s="5"/>
    </row>
    <row r="21" spans="2:7" ht="18.75" customHeight="1">
      <c r="B21" s="1">
        <v>15</v>
      </c>
      <c r="C21" s="2"/>
      <c r="D21" s="3"/>
      <c r="E21" s="4"/>
      <c r="F21" s="4"/>
      <c r="G21" s="5"/>
    </row>
    <row r="22" spans="2:7" ht="18.75" customHeight="1">
      <c r="B22" s="1">
        <v>16</v>
      </c>
      <c r="C22" s="2"/>
      <c r="D22" s="3"/>
      <c r="E22" s="4"/>
      <c r="F22" s="4"/>
      <c r="G22" s="5"/>
    </row>
    <row r="23" spans="2:7" ht="18.75" customHeight="1">
      <c r="B23" s="1">
        <v>17</v>
      </c>
      <c r="C23" s="2"/>
      <c r="D23" s="3"/>
      <c r="E23" s="4"/>
      <c r="F23" s="4"/>
      <c r="G23" s="5"/>
    </row>
    <row r="24" spans="2:7" ht="18.75" customHeight="1">
      <c r="B24" s="1">
        <v>18</v>
      </c>
      <c r="C24" s="2"/>
      <c r="D24" s="3"/>
      <c r="E24" s="4"/>
      <c r="F24" s="4"/>
      <c r="G24" s="5"/>
    </row>
    <row r="25" spans="2:7" ht="18.75" customHeight="1">
      <c r="B25" s="1">
        <v>19</v>
      </c>
      <c r="C25" s="2"/>
      <c r="D25" s="3"/>
      <c r="E25" s="4"/>
      <c r="F25" s="4"/>
      <c r="G25" s="5"/>
    </row>
    <row r="26" spans="2:7" ht="18.75" customHeight="1">
      <c r="B26" s="1">
        <v>20</v>
      </c>
      <c r="C26" s="2"/>
      <c r="D26" s="3"/>
      <c r="E26" s="4"/>
      <c r="F26" s="4"/>
      <c r="G26" s="5"/>
    </row>
    <row r="27" spans="2:7" ht="18.75" customHeight="1">
      <c r="B27" s="1">
        <v>21</v>
      </c>
      <c r="C27" s="2"/>
      <c r="D27" s="3"/>
      <c r="E27" s="4"/>
      <c r="F27" s="4"/>
      <c r="G27" s="5"/>
    </row>
    <row r="28" spans="2:7" ht="18.75" customHeight="1">
      <c r="B28" s="1">
        <v>22</v>
      </c>
      <c r="C28" s="2"/>
      <c r="D28" s="3"/>
      <c r="E28" s="4"/>
      <c r="F28" s="4"/>
      <c r="G28" s="5"/>
    </row>
    <row r="29" spans="2:7" ht="18.75" customHeight="1">
      <c r="B29" s="1">
        <v>23</v>
      </c>
      <c r="C29" s="2"/>
      <c r="D29" s="3"/>
      <c r="E29" s="4"/>
      <c r="F29" s="4"/>
      <c r="G29" s="5"/>
    </row>
    <row r="30" spans="2:7" ht="18.75" customHeight="1">
      <c r="B30" s="1">
        <v>24</v>
      </c>
      <c r="C30" s="2"/>
      <c r="D30" s="3"/>
      <c r="E30" s="4"/>
      <c r="F30" s="4"/>
      <c r="G30" s="5"/>
    </row>
    <row r="31" spans="2:7" ht="18.75" customHeight="1">
      <c r="B31" s="1">
        <v>25</v>
      </c>
      <c r="C31" s="2"/>
      <c r="D31" s="3"/>
      <c r="E31" s="4"/>
      <c r="F31" s="4"/>
      <c r="G31" s="5"/>
    </row>
    <row r="32" spans="2:7" ht="18.75" customHeight="1">
      <c r="B32" s="1">
        <v>26</v>
      </c>
      <c r="C32" s="2"/>
      <c r="D32" s="3"/>
      <c r="E32" s="4"/>
      <c r="F32" s="4"/>
      <c r="G32" s="5"/>
    </row>
    <row r="33" spans="2:7" ht="18.75" customHeight="1">
      <c r="B33" s="1">
        <v>27</v>
      </c>
      <c r="C33" s="2"/>
      <c r="D33" s="3"/>
      <c r="E33" s="4"/>
      <c r="F33" s="4"/>
      <c r="G33" s="5"/>
    </row>
    <row r="34" spans="2:7" ht="18.75" customHeight="1">
      <c r="B34" s="1">
        <v>28</v>
      </c>
      <c r="C34" s="2"/>
      <c r="D34" s="3"/>
      <c r="E34" s="4"/>
      <c r="F34" s="4"/>
      <c r="G34" s="5"/>
    </row>
    <row r="35" spans="2:7" ht="18.75" customHeight="1">
      <c r="B35" s="1">
        <v>29</v>
      </c>
      <c r="C35" s="2"/>
      <c r="D35" s="3"/>
      <c r="E35" s="4"/>
      <c r="F35" s="4"/>
      <c r="G35" s="5"/>
    </row>
    <row r="36" spans="2:7" ht="18.75" customHeight="1">
      <c r="B36" s="1">
        <v>30</v>
      </c>
      <c r="C36" s="2"/>
      <c r="D36" s="3"/>
      <c r="E36" s="4"/>
      <c r="F36" s="4"/>
      <c r="G36" s="5"/>
    </row>
    <row r="37" spans="2:7" ht="18.75" customHeight="1">
      <c r="B37" s="1">
        <v>31</v>
      </c>
      <c r="C37" s="2"/>
      <c r="D37" s="3"/>
      <c r="E37" s="4"/>
      <c r="F37" s="4"/>
      <c r="G37" s="5"/>
    </row>
    <row r="38" spans="2:7" ht="18.75" customHeight="1">
      <c r="B38" s="1">
        <v>32</v>
      </c>
      <c r="C38" s="2"/>
      <c r="D38" s="3"/>
      <c r="E38" s="4"/>
      <c r="F38" s="4"/>
      <c r="G38" s="5"/>
    </row>
    <row r="39" spans="2:7" ht="18.75" customHeight="1">
      <c r="B39" s="1"/>
      <c r="C39" s="2"/>
      <c r="D39" s="3"/>
      <c r="E39" s="4"/>
      <c r="F39" s="4"/>
      <c r="G39" s="5"/>
    </row>
    <row r="40" spans="2:7" ht="18.75" customHeight="1">
      <c r="B40" s="1"/>
      <c r="C40" s="2"/>
      <c r="D40" s="3"/>
      <c r="E40" s="4"/>
      <c r="F40" s="4"/>
      <c r="G40" s="5"/>
    </row>
    <row r="41" spans="2:7" ht="18.75" customHeight="1">
      <c r="B41" s="1"/>
      <c r="C41" s="2"/>
      <c r="D41" s="3"/>
      <c r="E41" s="4"/>
      <c r="F41" s="4"/>
      <c r="G41" s="5"/>
    </row>
    <row r="42" spans="2:7" ht="18.75" customHeight="1" thickBot="1">
      <c r="B42" s="1"/>
      <c r="C42" s="2"/>
      <c r="D42" s="10"/>
      <c r="E42" s="4"/>
      <c r="F42" s="4"/>
      <c r="G42" s="5"/>
    </row>
    <row r="43" spans="2:7" ht="18.75" customHeight="1" thickTop="1" thickBot="1">
      <c r="B43" s="66" t="s">
        <v>337</v>
      </c>
      <c r="C43" s="97"/>
      <c r="D43" s="67"/>
      <c r="E43" s="9">
        <f>SUM(E7:E42)</f>
        <v>100000000</v>
      </c>
      <c r="F43" s="9">
        <f>SUM(F7:F42)</f>
        <v>38008000</v>
      </c>
      <c r="G43" s="60">
        <f>E43-F43</f>
        <v>61992000</v>
      </c>
    </row>
    <row r="44" spans="2:7" ht="15.75" thickTop="1">
      <c r="G44" s="55">
        <f>G43/E43</f>
        <v>0.61992000000000003</v>
      </c>
    </row>
  </sheetData>
  <mergeCells count="5">
    <mergeCell ref="B2:G2"/>
    <mergeCell ref="B3:G3"/>
    <mergeCell ref="B4:G4"/>
    <mergeCell ref="B5:G5"/>
    <mergeCell ref="B43:D43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AAB1-8F95-8D48-BE97-8B4C5A9B3EAC}">
  <dimension ref="B1:J44"/>
  <sheetViews>
    <sheetView workbookViewId="0">
      <selection activeCell="J15" sqref="J15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346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46288</v>
      </c>
      <c r="D7" s="3" t="s">
        <v>339</v>
      </c>
      <c r="E7" s="4">
        <v>109500000</v>
      </c>
      <c r="F7" s="4"/>
      <c r="G7" s="5">
        <f>E7</f>
        <v>109500000</v>
      </c>
      <c r="I7" s="16" t="s">
        <v>27</v>
      </c>
      <c r="J7" s="39">
        <f>SUM(F9:F11)+F13+F16+F18</f>
        <v>17230300</v>
      </c>
    </row>
    <row r="8" spans="2:10" ht="18.75" customHeight="1">
      <c r="B8" s="1">
        <v>2</v>
      </c>
      <c r="C8" s="2">
        <v>46290</v>
      </c>
      <c r="D8" s="3" t="s">
        <v>347</v>
      </c>
      <c r="E8" s="4"/>
      <c r="F8" s="34">
        <v>1502500</v>
      </c>
      <c r="G8" s="5">
        <f>G7-F8</f>
        <v>107997500</v>
      </c>
      <c r="I8" s="17" t="s">
        <v>28</v>
      </c>
      <c r="J8" s="5">
        <f>F8+F12+F14+F17</f>
        <v>10782500</v>
      </c>
    </row>
    <row r="9" spans="2:10" ht="18.75" customHeight="1">
      <c r="B9" s="1">
        <v>3</v>
      </c>
      <c r="C9" s="2">
        <v>46291</v>
      </c>
      <c r="D9" s="3" t="s">
        <v>348</v>
      </c>
      <c r="E9" s="4"/>
      <c r="F9" s="33">
        <v>3895000</v>
      </c>
      <c r="G9" s="5">
        <f>G8-F9</f>
        <v>104102500</v>
      </c>
      <c r="I9" s="18" t="s">
        <v>29</v>
      </c>
      <c r="J9" s="5"/>
    </row>
    <row r="10" spans="2:10" ht="18.75" customHeight="1" thickBot="1">
      <c r="B10" s="1">
        <v>4</v>
      </c>
      <c r="C10" s="2">
        <v>46291</v>
      </c>
      <c r="D10" s="3" t="s">
        <v>349</v>
      </c>
      <c r="E10" s="4"/>
      <c r="F10" s="33">
        <v>523000</v>
      </c>
      <c r="G10" s="5">
        <f>G9-F10</f>
        <v>103579500</v>
      </c>
      <c r="I10" s="37" t="s">
        <v>30</v>
      </c>
      <c r="J10" s="15">
        <f>F15</f>
        <v>500000</v>
      </c>
    </row>
    <row r="11" spans="2:10" ht="18.75" customHeight="1" thickTop="1">
      <c r="B11" s="1">
        <v>5</v>
      </c>
      <c r="C11" s="2">
        <v>46292</v>
      </c>
      <c r="D11" s="3" t="s">
        <v>350</v>
      </c>
      <c r="E11" s="4"/>
      <c r="F11" s="33">
        <v>2452500</v>
      </c>
      <c r="G11" s="5">
        <f>G10-F11</f>
        <v>101127000</v>
      </c>
      <c r="J11" s="35">
        <f>SUM(J7:J10)</f>
        <v>28512800</v>
      </c>
    </row>
    <row r="12" spans="2:10" ht="18.75" customHeight="1">
      <c r="B12" s="1">
        <v>6</v>
      </c>
      <c r="C12" s="2">
        <v>46293</v>
      </c>
      <c r="D12" s="3" t="s">
        <v>347</v>
      </c>
      <c r="E12" s="4"/>
      <c r="F12" s="34">
        <v>2502500</v>
      </c>
      <c r="G12" s="5">
        <f>G11-F12</f>
        <v>98624500</v>
      </c>
      <c r="J12" s="35"/>
    </row>
    <row r="13" spans="2:10" ht="18.75" customHeight="1">
      <c r="B13" s="1">
        <v>7</v>
      </c>
      <c r="C13" s="2">
        <v>46294</v>
      </c>
      <c r="D13" s="3" t="s">
        <v>351</v>
      </c>
      <c r="E13" s="4"/>
      <c r="F13" s="33">
        <v>5091000</v>
      </c>
      <c r="G13" s="5">
        <f>G12-F13</f>
        <v>93533500</v>
      </c>
      <c r="I13" t="s">
        <v>352</v>
      </c>
      <c r="J13" s="35">
        <f>F17</f>
        <v>2000000</v>
      </c>
    </row>
    <row r="14" spans="2:10" ht="18.75" customHeight="1">
      <c r="B14" s="1">
        <v>8</v>
      </c>
      <c r="C14" s="2">
        <v>46297</v>
      </c>
      <c r="D14" s="3" t="s">
        <v>353</v>
      </c>
      <c r="E14" s="4"/>
      <c r="F14" s="34">
        <v>4777500</v>
      </c>
      <c r="G14" s="5">
        <f>G13-F14</f>
        <v>88756000</v>
      </c>
      <c r="I14" t="s">
        <v>354</v>
      </c>
      <c r="J14" s="35">
        <f>10000000-J13</f>
        <v>8000000</v>
      </c>
    </row>
    <row r="15" spans="2:10" ht="18.75" customHeight="1">
      <c r="B15" s="1">
        <v>9</v>
      </c>
      <c r="C15" s="2">
        <v>46297</v>
      </c>
      <c r="D15" s="3" t="s">
        <v>355</v>
      </c>
      <c r="E15" s="4"/>
      <c r="F15" s="38">
        <v>500000</v>
      </c>
      <c r="G15" s="5">
        <f>G14-F15</f>
        <v>88256000</v>
      </c>
    </row>
    <row r="16" spans="2:10" ht="18.75" customHeight="1">
      <c r="B16" s="1">
        <v>10</v>
      </c>
      <c r="C16" s="2">
        <v>46300</v>
      </c>
      <c r="D16" s="3" t="s">
        <v>356</v>
      </c>
      <c r="E16" s="4"/>
      <c r="F16" s="33">
        <v>4332800</v>
      </c>
      <c r="G16" s="5">
        <f t="shared" ref="G16:G18" si="0">G15-F16</f>
        <v>83923200</v>
      </c>
    </row>
    <row r="17" spans="2:7" ht="18.75" customHeight="1">
      <c r="B17" s="1">
        <v>11</v>
      </c>
      <c r="C17" s="2">
        <v>46300</v>
      </c>
      <c r="D17" s="3" t="s">
        <v>357</v>
      </c>
      <c r="E17" s="4"/>
      <c r="F17" s="34">
        <v>2000000</v>
      </c>
      <c r="G17" s="5">
        <f t="shared" si="0"/>
        <v>81923200</v>
      </c>
    </row>
    <row r="18" spans="2:7" ht="18.75" customHeight="1">
      <c r="B18" s="1">
        <v>12</v>
      </c>
      <c r="C18" s="2">
        <v>46303</v>
      </c>
      <c r="D18" s="3" t="s">
        <v>358</v>
      </c>
      <c r="E18" s="4"/>
      <c r="F18" s="33">
        <v>936000</v>
      </c>
      <c r="G18" s="5">
        <f t="shared" si="0"/>
        <v>80987200</v>
      </c>
    </row>
    <row r="19" spans="2:7" ht="18.75" customHeight="1">
      <c r="B19" s="1">
        <v>13</v>
      </c>
      <c r="C19" s="2">
        <v>46303</v>
      </c>
      <c r="D19" s="3" t="s">
        <v>356</v>
      </c>
      <c r="E19" s="4"/>
      <c r="F19" s="4">
        <v>790500</v>
      </c>
      <c r="G19" s="5"/>
    </row>
    <row r="20" spans="2:7" ht="18.75" customHeight="1">
      <c r="B20" s="1">
        <v>14</v>
      </c>
      <c r="C20" s="2">
        <v>46304</v>
      </c>
      <c r="D20" s="3" t="s">
        <v>351</v>
      </c>
      <c r="E20" s="4"/>
      <c r="F20" s="4">
        <v>1169000</v>
      </c>
      <c r="G20" s="5"/>
    </row>
    <row r="21" spans="2:7" ht="18.75" customHeight="1">
      <c r="B21" s="1">
        <v>15</v>
      </c>
      <c r="C21" s="2">
        <v>46304</v>
      </c>
      <c r="D21" s="3" t="s">
        <v>353</v>
      </c>
      <c r="E21" s="4"/>
      <c r="F21" s="4">
        <v>6174690</v>
      </c>
      <c r="G21" s="5"/>
    </row>
    <row r="22" spans="2:7" ht="18.75" customHeight="1">
      <c r="B22" s="1">
        <v>16</v>
      </c>
      <c r="C22" s="2">
        <v>46304</v>
      </c>
      <c r="D22" s="3" t="s">
        <v>340</v>
      </c>
      <c r="E22" s="4"/>
      <c r="F22" s="4">
        <v>2640000</v>
      </c>
      <c r="G22" s="5"/>
    </row>
    <row r="23" spans="2:7" ht="18.75" customHeight="1">
      <c r="B23" s="1">
        <v>17</v>
      </c>
      <c r="C23" s="2"/>
      <c r="D23" s="3"/>
      <c r="E23" s="4"/>
      <c r="F23" s="4"/>
      <c r="G23" s="5"/>
    </row>
    <row r="24" spans="2:7" ht="18.75" customHeight="1">
      <c r="B24" s="1">
        <v>18</v>
      </c>
      <c r="C24" s="2"/>
      <c r="D24" s="3"/>
      <c r="E24" s="4"/>
      <c r="F24" s="4"/>
      <c r="G24" s="5"/>
    </row>
    <row r="25" spans="2:7" ht="18.75" customHeight="1">
      <c r="B25" s="1">
        <v>19</v>
      </c>
      <c r="C25" s="2"/>
      <c r="D25" s="3"/>
      <c r="E25" s="4"/>
      <c r="F25" s="4"/>
      <c r="G25" s="5"/>
    </row>
    <row r="26" spans="2:7" ht="18.75" customHeight="1">
      <c r="B26" s="1">
        <v>20</v>
      </c>
      <c r="C26" s="2"/>
      <c r="D26" s="3"/>
      <c r="E26" s="4"/>
      <c r="F26" s="4"/>
      <c r="G26" s="5"/>
    </row>
    <row r="27" spans="2:7" ht="18.75" customHeight="1">
      <c r="B27" s="1">
        <v>21</v>
      </c>
      <c r="C27" s="2"/>
      <c r="D27" s="3"/>
      <c r="E27" s="4"/>
      <c r="F27" s="4"/>
      <c r="G27" s="5"/>
    </row>
    <row r="28" spans="2:7" ht="18.75" customHeight="1">
      <c r="B28" s="1">
        <v>22</v>
      </c>
      <c r="C28" s="2"/>
      <c r="D28" s="3"/>
      <c r="E28" s="4"/>
      <c r="F28" s="4"/>
      <c r="G28" s="5"/>
    </row>
    <row r="29" spans="2:7" ht="18.75" customHeight="1">
      <c r="B29" s="1">
        <v>23</v>
      </c>
      <c r="C29" s="2"/>
      <c r="D29" s="3"/>
      <c r="E29" s="4"/>
      <c r="F29" s="4"/>
      <c r="G29" s="5"/>
    </row>
    <row r="30" spans="2:7" ht="18.75" customHeight="1">
      <c r="B30" s="1">
        <v>24</v>
      </c>
      <c r="C30" s="2"/>
      <c r="D30" s="3"/>
      <c r="E30" s="4"/>
      <c r="F30" s="4"/>
      <c r="G30" s="5"/>
    </row>
    <row r="31" spans="2:7" ht="18.75" customHeight="1">
      <c r="B31" s="1">
        <v>25</v>
      </c>
      <c r="C31" s="2"/>
      <c r="D31" s="3"/>
      <c r="E31" s="4"/>
      <c r="F31" s="4"/>
      <c r="G31" s="5"/>
    </row>
    <row r="32" spans="2:7" ht="18.75" customHeight="1">
      <c r="B32" s="1">
        <v>26</v>
      </c>
      <c r="C32" s="2"/>
      <c r="D32" s="3"/>
      <c r="E32" s="4"/>
      <c r="F32" s="4"/>
      <c r="G32" s="5"/>
    </row>
    <row r="33" spans="2:7" ht="18.75" customHeight="1">
      <c r="B33" s="1">
        <v>27</v>
      </c>
      <c r="C33" s="2"/>
      <c r="D33" s="3"/>
      <c r="E33" s="4"/>
      <c r="F33" s="4"/>
      <c r="G33" s="5"/>
    </row>
    <row r="34" spans="2:7" ht="18.75" customHeight="1">
      <c r="B34" s="1">
        <v>28</v>
      </c>
      <c r="C34" s="2"/>
      <c r="D34" s="3"/>
      <c r="E34" s="4"/>
      <c r="F34" s="4"/>
      <c r="G34" s="5"/>
    </row>
    <row r="35" spans="2:7" ht="18.75" customHeight="1">
      <c r="B35" s="1">
        <v>29</v>
      </c>
      <c r="C35" s="2"/>
      <c r="D35" s="3"/>
      <c r="E35" s="4"/>
      <c r="F35" s="4"/>
      <c r="G35" s="5"/>
    </row>
    <row r="36" spans="2:7" ht="18.75" customHeight="1">
      <c r="B36" s="1">
        <v>30</v>
      </c>
      <c r="C36" s="2"/>
      <c r="D36" s="3"/>
      <c r="E36" s="4"/>
      <c r="F36" s="4"/>
      <c r="G36" s="5"/>
    </row>
    <row r="37" spans="2:7" ht="18.75" customHeight="1">
      <c r="B37" s="1">
        <v>31</v>
      </c>
      <c r="C37" s="2"/>
      <c r="D37" s="3"/>
      <c r="E37" s="4"/>
      <c r="F37" s="4"/>
      <c r="G37" s="5"/>
    </row>
    <row r="38" spans="2:7" ht="18.75" customHeight="1">
      <c r="B38" s="1">
        <v>32</v>
      </c>
      <c r="C38" s="2"/>
      <c r="D38" s="3"/>
      <c r="E38" s="4"/>
      <c r="F38" s="4"/>
      <c r="G38" s="5"/>
    </row>
    <row r="39" spans="2:7" ht="18.75" customHeight="1">
      <c r="B39" s="1"/>
      <c r="C39" s="2"/>
      <c r="D39" s="3"/>
      <c r="E39" s="4"/>
      <c r="F39" s="4"/>
      <c r="G39" s="5"/>
    </row>
    <row r="40" spans="2:7" ht="18.75" customHeight="1">
      <c r="B40" s="1"/>
      <c r="C40" s="2"/>
      <c r="D40" s="3"/>
      <c r="E40" s="4"/>
      <c r="F40" s="4"/>
      <c r="G40" s="5"/>
    </row>
    <row r="41" spans="2:7" ht="18.75" customHeight="1">
      <c r="B41" s="1"/>
      <c r="C41" s="2"/>
      <c r="D41" s="3"/>
      <c r="E41" s="4"/>
      <c r="F41" s="4"/>
      <c r="G41" s="5"/>
    </row>
    <row r="42" spans="2:7" ht="18.75" customHeight="1" thickBot="1">
      <c r="B42" s="1"/>
      <c r="C42" s="2"/>
      <c r="D42" s="10"/>
      <c r="E42" s="4"/>
      <c r="F42" s="4"/>
      <c r="G42" s="5"/>
    </row>
    <row r="43" spans="2:7" ht="18.75" customHeight="1" thickTop="1" thickBot="1">
      <c r="B43" s="66" t="s">
        <v>337</v>
      </c>
      <c r="C43" s="97"/>
      <c r="D43" s="67"/>
      <c r="E43" s="9">
        <f>SUM(E7:E42)</f>
        <v>109500000</v>
      </c>
      <c r="F43" s="9">
        <f>SUM(F7:F42)</f>
        <v>39286990</v>
      </c>
      <c r="G43" s="60">
        <f>E43-F43</f>
        <v>70213010</v>
      </c>
    </row>
    <row r="44" spans="2:7" ht="15.75" thickTop="1">
      <c r="G44" s="55">
        <f>G43/E43</f>
        <v>0.64121470319634699</v>
      </c>
    </row>
  </sheetData>
  <mergeCells count="5">
    <mergeCell ref="B2:G2"/>
    <mergeCell ref="B3:G3"/>
    <mergeCell ref="B4:G4"/>
    <mergeCell ref="B5:G5"/>
    <mergeCell ref="B43:D43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4239-12EF-FF49-9414-8400E0F60F0E}">
  <dimension ref="B1:J44"/>
  <sheetViews>
    <sheetView topLeftCell="A8" workbookViewId="0">
      <selection activeCell="D23" sqref="D23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359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46288</v>
      </c>
      <c r="D7" s="3" t="s">
        <v>339</v>
      </c>
      <c r="E7" s="4">
        <v>35000000</v>
      </c>
      <c r="F7" s="4"/>
      <c r="G7" s="5">
        <f>E7</f>
        <v>35000000</v>
      </c>
      <c r="I7" s="16" t="s">
        <v>27</v>
      </c>
      <c r="J7" s="39">
        <f>F8+SUM(F10:F11,F13:F14)+SUM(F16:F18,F20:F21)</f>
        <v>6872375</v>
      </c>
    </row>
    <row r="8" spans="2:10" ht="18.75" customHeight="1">
      <c r="B8" s="1">
        <v>2</v>
      </c>
      <c r="C8" s="2">
        <v>46293</v>
      </c>
      <c r="D8" s="3" t="s">
        <v>340</v>
      </c>
      <c r="E8" s="4"/>
      <c r="F8" s="33">
        <v>2527000</v>
      </c>
      <c r="G8" s="5">
        <f>G7-F8</f>
        <v>32473000</v>
      </c>
      <c r="I8" s="17" t="s">
        <v>28</v>
      </c>
      <c r="J8" s="5">
        <f>F9+F15+F22</f>
        <v>4927000</v>
      </c>
    </row>
    <row r="9" spans="2:10" ht="18.75" customHeight="1">
      <c r="B9" s="1">
        <v>3</v>
      </c>
      <c r="C9" s="2">
        <v>46294</v>
      </c>
      <c r="D9" s="3" t="s">
        <v>360</v>
      </c>
      <c r="E9" s="4"/>
      <c r="F9" s="34">
        <v>1000000</v>
      </c>
      <c r="G9" s="5">
        <f>G8-F9</f>
        <v>31473000</v>
      </c>
      <c r="I9" s="18" t="s">
        <v>29</v>
      </c>
      <c r="J9" s="5"/>
    </row>
    <row r="10" spans="2:10" ht="18.75" customHeight="1" thickBot="1">
      <c r="B10" s="1">
        <v>4</v>
      </c>
      <c r="C10" s="2">
        <v>46295</v>
      </c>
      <c r="D10" s="3" t="s">
        <v>340</v>
      </c>
      <c r="E10" s="4"/>
      <c r="F10" s="33">
        <v>328000</v>
      </c>
      <c r="G10" s="5">
        <f>G9-F10</f>
        <v>31145000</v>
      </c>
      <c r="I10" s="37" t="s">
        <v>30</v>
      </c>
      <c r="J10" s="15">
        <f>F12+F19</f>
        <v>200000</v>
      </c>
    </row>
    <row r="11" spans="2:10" ht="18.75" customHeight="1" thickTop="1">
      <c r="B11" s="1">
        <v>5</v>
      </c>
      <c r="C11" s="2">
        <v>46295</v>
      </c>
      <c r="D11" s="3" t="s">
        <v>361</v>
      </c>
      <c r="E11" s="4"/>
      <c r="F11" s="33">
        <v>600000</v>
      </c>
      <c r="G11" s="5">
        <f>G10-F11</f>
        <v>30545000</v>
      </c>
      <c r="J11" s="35">
        <f>SUM(J7:J10)</f>
        <v>11999375</v>
      </c>
    </row>
    <row r="12" spans="2:10" ht="18.75" customHeight="1">
      <c r="B12" s="1">
        <v>6</v>
      </c>
      <c r="C12" s="2">
        <v>46296</v>
      </c>
      <c r="D12" s="3" t="s">
        <v>362</v>
      </c>
      <c r="E12" s="4"/>
      <c r="F12" s="38">
        <v>100000</v>
      </c>
      <c r="G12" s="5">
        <f>G11-F12</f>
        <v>30445000</v>
      </c>
      <c r="J12" s="35"/>
    </row>
    <row r="13" spans="2:10" ht="18.75" customHeight="1">
      <c r="B13" s="1">
        <v>7</v>
      </c>
      <c r="C13" s="2">
        <v>46296</v>
      </c>
      <c r="D13" s="3" t="s">
        <v>363</v>
      </c>
      <c r="E13" s="4"/>
      <c r="F13" s="33">
        <v>245000</v>
      </c>
      <c r="G13" s="5">
        <f>G12-F13</f>
        <v>30200000</v>
      </c>
      <c r="J13" s="35"/>
    </row>
    <row r="14" spans="2:10" ht="18.75" customHeight="1">
      <c r="B14" s="1">
        <v>8</v>
      </c>
      <c r="C14" s="2">
        <v>46297</v>
      </c>
      <c r="D14" s="3" t="s">
        <v>364</v>
      </c>
      <c r="E14" s="4"/>
      <c r="F14" s="33">
        <v>53000</v>
      </c>
      <c r="G14" s="5">
        <f>G13-F14</f>
        <v>30147000</v>
      </c>
      <c r="J14" s="35"/>
    </row>
    <row r="15" spans="2:10" ht="18.75" customHeight="1">
      <c r="B15" s="1">
        <v>9</v>
      </c>
      <c r="C15" s="2">
        <v>46297</v>
      </c>
      <c r="D15" s="3" t="s">
        <v>365</v>
      </c>
      <c r="E15" s="4"/>
      <c r="F15" s="34">
        <v>2927000</v>
      </c>
      <c r="G15" s="5">
        <f t="shared" ref="G15:G22" si="0">G14-F15</f>
        <v>27220000</v>
      </c>
    </row>
    <row r="16" spans="2:10" ht="18.75" customHeight="1">
      <c r="B16" s="1">
        <v>10</v>
      </c>
      <c r="C16" s="2">
        <v>46298</v>
      </c>
      <c r="D16" s="3" t="s">
        <v>340</v>
      </c>
      <c r="E16" s="4"/>
      <c r="F16" s="33">
        <v>832000</v>
      </c>
      <c r="G16" s="5">
        <f t="shared" si="0"/>
        <v>26388000</v>
      </c>
    </row>
    <row r="17" spans="2:7" ht="18.75" customHeight="1">
      <c r="B17" s="1">
        <v>11</v>
      </c>
      <c r="C17" s="2">
        <v>46301</v>
      </c>
      <c r="D17" s="3" t="s">
        <v>340</v>
      </c>
      <c r="E17" s="4"/>
      <c r="F17" s="33">
        <v>848000</v>
      </c>
      <c r="G17" s="5">
        <f t="shared" si="0"/>
        <v>25540000</v>
      </c>
    </row>
    <row r="18" spans="2:7" ht="18.75" customHeight="1">
      <c r="B18" s="1">
        <v>12</v>
      </c>
      <c r="C18" s="2">
        <v>46301</v>
      </c>
      <c r="D18" s="3" t="s">
        <v>366</v>
      </c>
      <c r="E18" s="4"/>
      <c r="F18" s="33">
        <v>96000</v>
      </c>
      <c r="G18" s="5">
        <f t="shared" si="0"/>
        <v>25444000</v>
      </c>
    </row>
    <row r="19" spans="2:7" ht="18.75" customHeight="1">
      <c r="B19" s="1">
        <v>13</v>
      </c>
      <c r="C19" s="2">
        <v>46301</v>
      </c>
      <c r="D19" s="3" t="s">
        <v>367</v>
      </c>
      <c r="E19" s="4"/>
      <c r="F19" s="38">
        <v>100000</v>
      </c>
      <c r="G19" s="5">
        <f t="shared" si="0"/>
        <v>25344000</v>
      </c>
    </row>
    <row r="20" spans="2:7" ht="18.75" customHeight="1">
      <c r="B20" s="1">
        <v>14</v>
      </c>
      <c r="C20" s="2">
        <v>46301</v>
      </c>
      <c r="D20" s="3" t="s">
        <v>368</v>
      </c>
      <c r="E20" s="4"/>
      <c r="F20" s="33">
        <v>1218375</v>
      </c>
      <c r="G20" s="5">
        <f t="shared" si="0"/>
        <v>24125625</v>
      </c>
    </row>
    <row r="21" spans="2:7" ht="18.75" customHeight="1">
      <c r="B21" s="1">
        <v>15</v>
      </c>
      <c r="C21" s="2">
        <v>46301</v>
      </c>
      <c r="D21" s="3" t="s">
        <v>369</v>
      </c>
      <c r="E21" s="4"/>
      <c r="F21" s="33">
        <v>125000</v>
      </c>
      <c r="G21" s="5">
        <f t="shared" si="0"/>
        <v>24000625</v>
      </c>
    </row>
    <row r="22" spans="2:7" ht="18.75" customHeight="1">
      <c r="B22" s="1">
        <v>16</v>
      </c>
      <c r="C22" s="2">
        <v>46301</v>
      </c>
      <c r="D22" s="3" t="s">
        <v>360</v>
      </c>
      <c r="E22" s="4"/>
      <c r="F22" s="34">
        <v>1000000</v>
      </c>
      <c r="G22" s="5">
        <f t="shared" si="0"/>
        <v>23000625</v>
      </c>
    </row>
    <row r="23" spans="2:7" ht="18.75" customHeight="1">
      <c r="B23" s="1">
        <v>17</v>
      </c>
      <c r="C23" s="2">
        <v>46305</v>
      </c>
      <c r="D23" s="3" t="s">
        <v>365</v>
      </c>
      <c r="E23" s="4"/>
      <c r="F23" s="4">
        <v>2315000</v>
      </c>
      <c r="G23" s="5"/>
    </row>
    <row r="24" spans="2:7" ht="18.75" customHeight="1">
      <c r="B24" s="1">
        <v>18</v>
      </c>
      <c r="C24" s="2"/>
      <c r="D24" s="3"/>
      <c r="E24" s="4"/>
      <c r="F24" s="4"/>
      <c r="G24" s="5"/>
    </row>
    <row r="25" spans="2:7" ht="18.75" customHeight="1">
      <c r="B25" s="1">
        <v>19</v>
      </c>
      <c r="C25" s="2"/>
      <c r="D25" s="3"/>
      <c r="E25" s="4"/>
      <c r="F25" s="4"/>
      <c r="G25" s="5"/>
    </row>
    <row r="26" spans="2:7" ht="18.75" customHeight="1">
      <c r="B26" s="1">
        <v>20</v>
      </c>
      <c r="C26" s="2"/>
      <c r="D26" s="3"/>
      <c r="E26" s="4"/>
      <c r="F26" s="4"/>
      <c r="G26" s="5"/>
    </row>
    <row r="27" spans="2:7" ht="18.75" customHeight="1">
      <c r="B27" s="1">
        <v>21</v>
      </c>
      <c r="C27" s="2"/>
      <c r="D27" s="3"/>
      <c r="E27" s="4"/>
      <c r="F27" s="4"/>
      <c r="G27" s="5"/>
    </row>
    <row r="28" spans="2:7" ht="18.75" customHeight="1">
      <c r="B28" s="1">
        <v>22</v>
      </c>
      <c r="C28" s="2"/>
      <c r="D28" s="3"/>
      <c r="E28" s="4"/>
      <c r="F28" s="4"/>
      <c r="G28" s="5"/>
    </row>
    <row r="29" spans="2:7" ht="18.75" customHeight="1">
      <c r="B29" s="1">
        <v>23</v>
      </c>
      <c r="C29" s="2"/>
      <c r="D29" s="3"/>
      <c r="E29" s="4"/>
      <c r="F29" s="4"/>
      <c r="G29" s="5"/>
    </row>
    <row r="30" spans="2:7" ht="18.75" customHeight="1">
      <c r="B30" s="1">
        <v>24</v>
      </c>
      <c r="C30" s="2"/>
      <c r="D30" s="3"/>
      <c r="E30" s="4"/>
      <c r="F30" s="4"/>
      <c r="G30" s="5"/>
    </row>
    <row r="31" spans="2:7" ht="18.75" customHeight="1">
      <c r="B31" s="1">
        <v>25</v>
      </c>
      <c r="C31" s="2"/>
      <c r="D31" s="3"/>
      <c r="E31" s="4"/>
      <c r="F31" s="4"/>
      <c r="G31" s="5"/>
    </row>
    <row r="32" spans="2:7" ht="18.75" customHeight="1">
      <c r="B32" s="1">
        <v>26</v>
      </c>
      <c r="C32" s="2"/>
      <c r="D32" s="3"/>
      <c r="E32" s="4"/>
      <c r="F32" s="4"/>
      <c r="G32" s="5"/>
    </row>
    <row r="33" spans="2:7" ht="18.75" customHeight="1">
      <c r="B33" s="1">
        <v>27</v>
      </c>
      <c r="C33" s="2"/>
      <c r="D33" s="3"/>
      <c r="E33" s="4"/>
      <c r="F33" s="4"/>
      <c r="G33" s="5"/>
    </row>
    <row r="34" spans="2:7" ht="18.75" customHeight="1">
      <c r="B34" s="1">
        <v>28</v>
      </c>
      <c r="C34" s="2"/>
      <c r="D34" s="3"/>
      <c r="E34" s="4"/>
      <c r="F34" s="4"/>
      <c r="G34" s="5"/>
    </row>
    <row r="35" spans="2:7" ht="18.75" customHeight="1">
      <c r="B35" s="1">
        <v>29</v>
      </c>
      <c r="C35" s="2"/>
      <c r="D35" s="3"/>
      <c r="E35" s="4"/>
      <c r="F35" s="4"/>
      <c r="G35" s="5"/>
    </row>
    <row r="36" spans="2:7" ht="18.75" customHeight="1">
      <c r="B36" s="1">
        <v>30</v>
      </c>
      <c r="C36" s="2"/>
      <c r="D36" s="3"/>
      <c r="E36" s="4"/>
      <c r="F36" s="4"/>
      <c r="G36" s="5"/>
    </row>
    <row r="37" spans="2:7" ht="18.75" customHeight="1">
      <c r="B37" s="1">
        <v>31</v>
      </c>
      <c r="C37" s="2"/>
      <c r="D37" s="3"/>
      <c r="E37" s="4"/>
      <c r="F37" s="4"/>
      <c r="G37" s="5"/>
    </row>
    <row r="38" spans="2:7" ht="18.75" customHeight="1">
      <c r="B38" s="1">
        <v>32</v>
      </c>
      <c r="C38" s="2"/>
      <c r="D38" s="3"/>
      <c r="E38" s="4"/>
      <c r="F38" s="4"/>
      <c r="G38" s="5"/>
    </row>
    <row r="39" spans="2:7" ht="18.75" customHeight="1">
      <c r="B39" s="1"/>
      <c r="C39" s="2"/>
      <c r="D39" s="3"/>
      <c r="E39" s="4"/>
      <c r="F39" s="4"/>
      <c r="G39" s="5"/>
    </row>
    <row r="40" spans="2:7" ht="18.75" customHeight="1">
      <c r="B40" s="1"/>
      <c r="C40" s="2"/>
      <c r="D40" s="3"/>
      <c r="E40" s="4"/>
      <c r="F40" s="4"/>
      <c r="G40" s="5"/>
    </row>
    <row r="41" spans="2:7" ht="18.75" customHeight="1">
      <c r="B41" s="1"/>
      <c r="C41" s="2"/>
      <c r="D41" s="3"/>
      <c r="E41" s="4"/>
      <c r="F41" s="4"/>
      <c r="G41" s="5"/>
    </row>
    <row r="42" spans="2:7" ht="18.75" customHeight="1" thickBot="1">
      <c r="B42" s="1"/>
      <c r="C42" s="2"/>
      <c r="D42" s="10"/>
      <c r="E42" s="4"/>
      <c r="F42" s="4"/>
      <c r="G42" s="5"/>
    </row>
    <row r="43" spans="2:7" ht="18.75" customHeight="1" thickTop="1" thickBot="1">
      <c r="B43" s="66" t="s">
        <v>337</v>
      </c>
      <c r="C43" s="97"/>
      <c r="D43" s="67"/>
      <c r="E43" s="9">
        <f>SUM(E7:E42)</f>
        <v>35000000</v>
      </c>
      <c r="F43" s="9">
        <f>SUM(F7:F42)</f>
        <v>14314375</v>
      </c>
      <c r="G43" s="60">
        <f>E43-F43</f>
        <v>20685625</v>
      </c>
    </row>
    <row r="44" spans="2:7" ht="15.75" thickTop="1">
      <c r="G44" s="55">
        <f>G43/E43</f>
        <v>0.59101785714285715</v>
      </c>
    </row>
  </sheetData>
  <mergeCells count="5">
    <mergeCell ref="B2:G2"/>
    <mergeCell ref="B3:G3"/>
    <mergeCell ref="B4:G4"/>
    <mergeCell ref="B5:G5"/>
    <mergeCell ref="B43:D43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5FC6-2285-7641-AF82-197C624AE5AC}">
  <dimension ref="B1:J88"/>
  <sheetViews>
    <sheetView topLeftCell="A66" workbookViewId="0">
      <selection activeCell="F83" sqref="F83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370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46217</v>
      </c>
      <c r="D7" s="3" t="s">
        <v>371</v>
      </c>
      <c r="E7" s="4"/>
      <c r="F7" s="33">
        <v>48000</v>
      </c>
      <c r="G7" s="5">
        <f>-F7</f>
        <v>-48000</v>
      </c>
      <c r="I7" s="16" t="s">
        <v>27</v>
      </c>
      <c r="J7" s="39">
        <f>F7+SUM(F11:F14)+F18+SUM(F20:F25)+F27+SUM(F29:F30)+F34+SUM(F36:F37)+SUM(F40:F42)+F44+SUM(F46:F48)+SUM(F50:F52)+SUM(F58:F61,F64:F65)+SUM(F68:F70)+F72+SUM(F75:F76)+F78+F80</f>
        <v>123084475</v>
      </c>
    </row>
    <row r="8" spans="2:10" ht="18.75" customHeight="1">
      <c r="B8" s="1">
        <v>2</v>
      </c>
      <c r="C8" s="2">
        <v>46220</v>
      </c>
      <c r="D8" s="3" t="s">
        <v>372</v>
      </c>
      <c r="E8" s="4">
        <v>277500000</v>
      </c>
      <c r="F8" s="4"/>
      <c r="G8" s="5">
        <f>G7+E8</f>
        <v>277452000</v>
      </c>
      <c r="I8" s="17" t="s">
        <v>28</v>
      </c>
      <c r="J8" s="5">
        <f>F10+SUM(F15:F17)+F19+F26+F28+F32+SUM(F38:F39)+F43+F45+F49+SUM(F54:F56)+SUM(F62:F63)+F66+F71+SUM(F73:F74)+F77+F79+F81</f>
        <v>131808350</v>
      </c>
    </row>
    <row r="9" spans="2:10" ht="18.75" customHeight="1">
      <c r="B9" s="1">
        <v>3</v>
      </c>
      <c r="C9" s="2">
        <v>46224</v>
      </c>
      <c r="D9" s="3" t="s">
        <v>373</v>
      </c>
      <c r="E9" s="4"/>
      <c r="F9" s="38">
        <v>800000</v>
      </c>
      <c r="G9" s="5">
        <f>G8-F9</f>
        <v>276652000</v>
      </c>
      <c r="I9" s="18" t="s">
        <v>29</v>
      </c>
      <c r="J9" s="5">
        <f>F35+F67</f>
        <v>3796000</v>
      </c>
    </row>
    <row r="10" spans="2:10" ht="18.75" customHeight="1" thickBot="1">
      <c r="B10" s="1">
        <v>4</v>
      </c>
      <c r="C10" s="2">
        <v>46224</v>
      </c>
      <c r="D10" s="3" t="s">
        <v>341</v>
      </c>
      <c r="E10" s="4"/>
      <c r="F10" s="34">
        <v>2200000</v>
      </c>
      <c r="G10" s="5">
        <f>G9-F10</f>
        <v>274452000</v>
      </c>
      <c r="I10" s="37" t="s">
        <v>30</v>
      </c>
      <c r="J10" s="15">
        <f>F9+F31+F33+F53</f>
        <v>2141600</v>
      </c>
    </row>
    <row r="11" spans="2:10" ht="18.75" customHeight="1" thickTop="1">
      <c r="B11" s="1">
        <v>5</v>
      </c>
      <c r="C11" s="2">
        <v>46224</v>
      </c>
      <c r="D11" s="3" t="s">
        <v>374</v>
      </c>
      <c r="E11" s="4"/>
      <c r="F11" s="33">
        <v>4599000</v>
      </c>
      <c r="G11" s="5">
        <f>G10-F11</f>
        <v>269853000</v>
      </c>
      <c r="J11" s="35">
        <f>SUM(J7:J10)</f>
        <v>260830425</v>
      </c>
    </row>
    <row r="12" spans="2:10" ht="18.75" customHeight="1">
      <c r="B12" s="1">
        <v>6</v>
      </c>
      <c r="C12" s="2">
        <v>46224</v>
      </c>
      <c r="D12" s="3" t="s">
        <v>367</v>
      </c>
      <c r="E12" s="4"/>
      <c r="F12" s="33">
        <v>100000</v>
      </c>
      <c r="G12" s="5">
        <f>G11-F12</f>
        <v>269753000</v>
      </c>
      <c r="J12" s="35"/>
    </row>
    <row r="13" spans="2:10" ht="18.75" customHeight="1">
      <c r="B13" s="1">
        <v>7</v>
      </c>
      <c r="C13" s="2">
        <v>46224</v>
      </c>
      <c r="D13" s="3" t="s">
        <v>374</v>
      </c>
      <c r="E13" s="4"/>
      <c r="F13" s="33">
        <v>2852000</v>
      </c>
      <c r="G13" s="5">
        <f>G12-F13</f>
        <v>266901000</v>
      </c>
      <c r="I13" t="s">
        <v>375</v>
      </c>
      <c r="J13" s="35">
        <f>F27+F39+F42+F21</f>
        <v>51075375</v>
      </c>
    </row>
    <row r="14" spans="2:10" ht="18.75" customHeight="1">
      <c r="B14" s="1">
        <v>8</v>
      </c>
      <c r="C14" s="2">
        <v>46227</v>
      </c>
      <c r="D14" s="3" t="s">
        <v>374</v>
      </c>
      <c r="E14" s="4"/>
      <c r="F14" s="33">
        <v>2988000</v>
      </c>
      <c r="G14" s="5">
        <f>G13-F14</f>
        <v>263913000</v>
      </c>
      <c r="I14" t="s">
        <v>376</v>
      </c>
      <c r="J14" s="35">
        <f>J8-J13</f>
        <v>80732975</v>
      </c>
    </row>
    <row r="15" spans="2:10" ht="18.75" customHeight="1">
      <c r="B15" s="1">
        <v>9</v>
      </c>
      <c r="C15" s="2">
        <v>46228</v>
      </c>
      <c r="D15" s="3" t="s">
        <v>341</v>
      </c>
      <c r="E15" s="4"/>
      <c r="F15" s="34">
        <v>1500000</v>
      </c>
      <c r="G15" s="5">
        <f>G14-F15</f>
        <v>262413000</v>
      </c>
      <c r="J15" s="35"/>
    </row>
    <row r="16" spans="2:10" ht="18.75" customHeight="1">
      <c r="B16" s="1">
        <v>10</v>
      </c>
      <c r="C16" s="2">
        <v>46230</v>
      </c>
      <c r="D16" s="3" t="s">
        <v>345</v>
      </c>
      <c r="E16" s="4"/>
      <c r="F16" s="34">
        <v>894350</v>
      </c>
      <c r="G16" s="5">
        <f t="shared" ref="G16:G56" si="0">G15-F16</f>
        <v>261518650</v>
      </c>
      <c r="J16" s="35"/>
    </row>
    <row r="17" spans="2:10" ht="18.75" customHeight="1">
      <c r="B17" s="1">
        <v>11</v>
      </c>
      <c r="C17" s="2">
        <v>46230</v>
      </c>
      <c r="D17" s="3" t="s">
        <v>341</v>
      </c>
      <c r="E17" s="4"/>
      <c r="F17" s="34">
        <v>1000000</v>
      </c>
      <c r="G17" s="5">
        <f t="shared" si="0"/>
        <v>260518650</v>
      </c>
      <c r="J17" s="35"/>
    </row>
    <row r="18" spans="2:10" ht="18.75" customHeight="1">
      <c r="B18" s="1">
        <v>12</v>
      </c>
      <c r="C18" s="2">
        <v>46234</v>
      </c>
      <c r="D18" s="3" t="s">
        <v>374</v>
      </c>
      <c r="E18" s="4"/>
      <c r="F18" s="33">
        <v>3899000</v>
      </c>
      <c r="G18" s="5">
        <f t="shared" si="0"/>
        <v>256619650</v>
      </c>
      <c r="J18" s="35"/>
    </row>
    <row r="19" spans="2:10" ht="18.75" customHeight="1">
      <c r="B19" s="1">
        <v>13</v>
      </c>
      <c r="C19" s="2">
        <v>46235</v>
      </c>
      <c r="D19" s="3" t="s">
        <v>345</v>
      </c>
      <c r="E19" s="4"/>
      <c r="F19" s="34">
        <v>4468750</v>
      </c>
      <c r="G19" s="5">
        <f t="shared" si="0"/>
        <v>252150900</v>
      </c>
      <c r="J19" s="35"/>
    </row>
    <row r="20" spans="2:10" ht="18.75" customHeight="1">
      <c r="B20" s="1">
        <v>13</v>
      </c>
      <c r="C20" s="2">
        <v>46237</v>
      </c>
      <c r="D20" s="3" t="s">
        <v>374</v>
      </c>
      <c r="E20" s="4"/>
      <c r="F20" s="33">
        <v>2095000</v>
      </c>
      <c r="G20" s="5">
        <f t="shared" si="0"/>
        <v>250055900</v>
      </c>
      <c r="J20" s="35"/>
    </row>
    <row r="21" spans="2:10" ht="18.75" customHeight="1">
      <c r="B21" s="1">
        <v>14</v>
      </c>
      <c r="C21" s="2">
        <v>46237</v>
      </c>
      <c r="D21" s="3" t="s">
        <v>377</v>
      </c>
      <c r="E21" s="4"/>
      <c r="F21" s="33">
        <v>15075375</v>
      </c>
      <c r="G21" s="5">
        <f t="shared" si="0"/>
        <v>234980525</v>
      </c>
      <c r="J21" s="35"/>
    </row>
    <row r="22" spans="2:10" ht="18.75" customHeight="1">
      <c r="B22" s="1">
        <v>15</v>
      </c>
      <c r="C22" s="2">
        <v>46239</v>
      </c>
      <c r="D22" s="3" t="s">
        <v>374</v>
      </c>
      <c r="E22" s="4"/>
      <c r="F22" s="33">
        <v>2913000</v>
      </c>
      <c r="G22" s="5">
        <f t="shared" si="0"/>
        <v>232067525</v>
      </c>
      <c r="J22" s="35"/>
    </row>
    <row r="23" spans="2:10" ht="18.75" customHeight="1">
      <c r="B23" s="1">
        <v>16</v>
      </c>
      <c r="C23" s="2">
        <v>46239</v>
      </c>
      <c r="D23" s="3" t="s">
        <v>374</v>
      </c>
      <c r="E23" s="4"/>
      <c r="F23" s="33">
        <v>712500</v>
      </c>
      <c r="G23" s="5">
        <f t="shared" si="0"/>
        <v>231355025</v>
      </c>
      <c r="J23" s="35"/>
    </row>
    <row r="24" spans="2:10" ht="18.75" customHeight="1">
      <c r="B24" s="1">
        <v>17</v>
      </c>
      <c r="C24" s="2">
        <v>46240</v>
      </c>
      <c r="D24" s="3" t="s">
        <v>374</v>
      </c>
      <c r="E24" s="4"/>
      <c r="F24" s="33">
        <v>525000</v>
      </c>
      <c r="G24" s="5">
        <f t="shared" si="0"/>
        <v>230830025</v>
      </c>
      <c r="J24" s="35"/>
    </row>
    <row r="25" spans="2:10" ht="18.75" customHeight="1">
      <c r="B25" s="1">
        <v>18</v>
      </c>
      <c r="C25" s="2">
        <v>46241</v>
      </c>
      <c r="D25" s="3" t="s">
        <v>374</v>
      </c>
      <c r="E25" s="4"/>
      <c r="F25" s="33">
        <v>1150000</v>
      </c>
      <c r="G25" s="5">
        <f t="shared" si="0"/>
        <v>229680025</v>
      </c>
      <c r="J25" s="35"/>
    </row>
    <row r="26" spans="2:10" ht="18.75" customHeight="1">
      <c r="B26" s="1">
        <v>19</v>
      </c>
      <c r="C26" s="2">
        <v>46242</v>
      </c>
      <c r="D26" s="3" t="s">
        <v>345</v>
      </c>
      <c r="E26" s="4"/>
      <c r="F26" s="34">
        <v>10469000</v>
      </c>
      <c r="G26" s="5">
        <f t="shared" si="0"/>
        <v>219211025</v>
      </c>
      <c r="J26" s="35"/>
    </row>
    <row r="27" spans="2:10" ht="18.75" customHeight="1">
      <c r="B27" s="1">
        <v>20</v>
      </c>
      <c r="C27" s="2">
        <v>46243</v>
      </c>
      <c r="D27" s="3" t="s">
        <v>378</v>
      </c>
      <c r="E27" s="4"/>
      <c r="F27" s="33">
        <v>18000000</v>
      </c>
      <c r="G27" s="5">
        <f t="shared" si="0"/>
        <v>201211025</v>
      </c>
      <c r="J27" s="35"/>
    </row>
    <row r="28" spans="2:10" ht="18.75" customHeight="1">
      <c r="B28" s="1">
        <v>21</v>
      </c>
      <c r="C28" s="2">
        <v>46248</v>
      </c>
      <c r="D28" s="3" t="s">
        <v>345</v>
      </c>
      <c r="E28" s="4"/>
      <c r="F28" s="34">
        <v>13000000</v>
      </c>
      <c r="G28" s="5">
        <f t="shared" si="0"/>
        <v>188211025</v>
      </c>
    </row>
    <row r="29" spans="2:10" ht="18.75" customHeight="1">
      <c r="B29" s="1">
        <v>22</v>
      </c>
      <c r="C29" s="2">
        <v>46253</v>
      </c>
      <c r="D29" s="3" t="s">
        <v>374</v>
      </c>
      <c r="E29" s="4"/>
      <c r="F29" s="33">
        <v>1805000</v>
      </c>
      <c r="G29" s="5">
        <f t="shared" si="0"/>
        <v>186406025</v>
      </c>
    </row>
    <row r="30" spans="2:10" ht="18.75" customHeight="1">
      <c r="B30" s="1">
        <v>23</v>
      </c>
      <c r="C30" s="2">
        <v>46254</v>
      </c>
      <c r="D30" s="3" t="s">
        <v>379</v>
      </c>
      <c r="E30" s="4"/>
      <c r="F30" s="33">
        <v>7600000</v>
      </c>
      <c r="G30" s="5">
        <f t="shared" si="0"/>
        <v>178806025</v>
      </c>
    </row>
    <row r="31" spans="2:10" ht="18.75" customHeight="1">
      <c r="B31" s="1">
        <v>24</v>
      </c>
      <c r="C31" s="2">
        <v>46254</v>
      </c>
      <c r="D31" s="3" t="s">
        <v>380</v>
      </c>
      <c r="E31" s="4"/>
      <c r="F31" s="38">
        <v>591700</v>
      </c>
      <c r="G31" s="5">
        <f t="shared" si="0"/>
        <v>178214325</v>
      </c>
    </row>
    <row r="32" spans="2:10" ht="18.75" customHeight="1">
      <c r="B32" s="1">
        <v>25</v>
      </c>
      <c r="C32" s="2">
        <v>46255</v>
      </c>
      <c r="D32" s="3" t="s">
        <v>345</v>
      </c>
      <c r="E32" s="4"/>
      <c r="F32" s="34">
        <v>9500000</v>
      </c>
      <c r="G32" s="5">
        <f t="shared" si="0"/>
        <v>168714325</v>
      </c>
    </row>
    <row r="33" spans="2:7" ht="18.75" customHeight="1">
      <c r="B33" s="1">
        <v>26</v>
      </c>
      <c r="C33" s="2">
        <v>46255</v>
      </c>
      <c r="D33" s="3" t="s">
        <v>381</v>
      </c>
      <c r="E33" s="4"/>
      <c r="F33" s="38">
        <v>699900</v>
      </c>
      <c r="G33" s="5">
        <f t="shared" si="0"/>
        <v>168014425</v>
      </c>
    </row>
    <row r="34" spans="2:7" ht="18.75" customHeight="1">
      <c r="B34" s="1">
        <v>27</v>
      </c>
      <c r="C34" s="2">
        <v>46256</v>
      </c>
      <c r="D34" s="3" t="s">
        <v>374</v>
      </c>
      <c r="E34" s="4"/>
      <c r="F34" s="33">
        <v>1514000</v>
      </c>
      <c r="G34" s="5">
        <f t="shared" si="0"/>
        <v>166500425</v>
      </c>
    </row>
    <row r="35" spans="2:7" ht="18.75" customHeight="1">
      <c r="B35" s="1">
        <v>28</v>
      </c>
      <c r="C35" s="2">
        <v>46256</v>
      </c>
      <c r="D35" s="3" t="s">
        <v>382</v>
      </c>
      <c r="E35" s="4"/>
      <c r="F35" s="59">
        <v>2548000</v>
      </c>
      <c r="G35" s="5">
        <f t="shared" si="0"/>
        <v>163952425</v>
      </c>
    </row>
    <row r="36" spans="2:7" ht="18.75" customHeight="1">
      <c r="B36" s="1">
        <v>29</v>
      </c>
      <c r="C36" s="2">
        <v>46258</v>
      </c>
      <c r="D36" s="3" t="s">
        <v>383</v>
      </c>
      <c r="E36" s="4"/>
      <c r="F36" s="33">
        <v>1264000</v>
      </c>
      <c r="G36" s="5">
        <f t="shared" si="0"/>
        <v>162688425</v>
      </c>
    </row>
    <row r="37" spans="2:7" ht="18.75" customHeight="1">
      <c r="B37" s="1">
        <v>30</v>
      </c>
      <c r="C37" s="2">
        <v>46260</v>
      </c>
      <c r="D37" s="3" t="s">
        <v>340</v>
      </c>
      <c r="E37" s="4"/>
      <c r="F37" s="33">
        <v>4598000</v>
      </c>
      <c r="G37" s="5">
        <f t="shared" si="0"/>
        <v>158090425</v>
      </c>
    </row>
    <row r="38" spans="2:7" ht="18.75" customHeight="1">
      <c r="B38" s="1">
        <v>31</v>
      </c>
      <c r="C38" s="2">
        <v>46262</v>
      </c>
      <c r="D38" s="3" t="s">
        <v>345</v>
      </c>
      <c r="E38" s="4"/>
      <c r="F38" s="34">
        <v>7900000</v>
      </c>
      <c r="G38" s="5">
        <f t="shared" si="0"/>
        <v>150190425</v>
      </c>
    </row>
    <row r="39" spans="2:7" ht="18.75" customHeight="1">
      <c r="B39" s="1">
        <v>32</v>
      </c>
      <c r="C39" s="2">
        <v>46263</v>
      </c>
      <c r="D39" s="3" t="s">
        <v>384</v>
      </c>
      <c r="E39" s="4"/>
      <c r="F39" s="34">
        <v>8000000</v>
      </c>
      <c r="G39" s="5">
        <f t="shared" si="0"/>
        <v>142190425</v>
      </c>
    </row>
    <row r="40" spans="2:7" ht="18.75" customHeight="1">
      <c r="B40" s="1">
        <v>33</v>
      </c>
      <c r="C40" s="2">
        <v>46263</v>
      </c>
      <c r="D40" s="3" t="s">
        <v>340</v>
      </c>
      <c r="E40" s="4"/>
      <c r="F40" s="33">
        <v>1789000</v>
      </c>
      <c r="G40" s="5">
        <f t="shared" si="0"/>
        <v>140401425</v>
      </c>
    </row>
    <row r="41" spans="2:7" ht="18.75" customHeight="1">
      <c r="B41" s="1">
        <v>34</v>
      </c>
      <c r="C41" s="2">
        <v>46268</v>
      </c>
      <c r="D41" s="3" t="s">
        <v>340</v>
      </c>
      <c r="E41" s="4"/>
      <c r="F41" s="33">
        <v>1231000</v>
      </c>
      <c r="G41" s="5">
        <f t="shared" si="0"/>
        <v>139170425</v>
      </c>
    </row>
    <row r="42" spans="2:7" ht="18.75" customHeight="1">
      <c r="B42" s="1">
        <v>35</v>
      </c>
      <c r="C42" s="2">
        <v>46268</v>
      </c>
      <c r="D42" s="3" t="s">
        <v>385</v>
      </c>
      <c r="E42" s="4"/>
      <c r="F42" s="33">
        <v>10000000</v>
      </c>
      <c r="G42" s="5">
        <f t="shared" si="0"/>
        <v>129170425</v>
      </c>
    </row>
    <row r="43" spans="2:7" ht="18.75" customHeight="1">
      <c r="B43" s="1">
        <v>36</v>
      </c>
      <c r="C43" s="2">
        <v>46270</v>
      </c>
      <c r="D43" s="3" t="s">
        <v>345</v>
      </c>
      <c r="E43" s="4"/>
      <c r="F43" s="34">
        <v>9250000</v>
      </c>
      <c r="G43" s="5">
        <f t="shared" si="0"/>
        <v>119920425</v>
      </c>
    </row>
    <row r="44" spans="2:7" ht="18.75" customHeight="1">
      <c r="B44" s="1">
        <v>37</v>
      </c>
      <c r="C44" s="2">
        <v>46270</v>
      </c>
      <c r="D44" s="3" t="s">
        <v>386</v>
      </c>
      <c r="E44" s="4"/>
      <c r="F44" s="33">
        <v>380000</v>
      </c>
      <c r="G44" s="5">
        <f t="shared" si="0"/>
        <v>119540425</v>
      </c>
    </row>
    <row r="45" spans="2:7" ht="18.75" customHeight="1">
      <c r="B45" s="1">
        <v>38</v>
      </c>
      <c r="C45" s="2">
        <v>46270</v>
      </c>
      <c r="D45" s="3" t="s">
        <v>387</v>
      </c>
      <c r="E45" s="4"/>
      <c r="F45" s="34">
        <v>500000</v>
      </c>
      <c r="G45" s="5">
        <f t="shared" si="0"/>
        <v>119040425</v>
      </c>
    </row>
    <row r="46" spans="2:7" ht="18.75" customHeight="1">
      <c r="B46" s="1">
        <v>39</v>
      </c>
      <c r="C46" s="2">
        <v>46272</v>
      </c>
      <c r="D46" s="3" t="s">
        <v>340</v>
      </c>
      <c r="E46" s="4"/>
      <c r="F46" s="33">
        <v>1156000</v>
      </c>
      <c r="G46" s="5">
        <f t="shared" si="0"/>
        <v>117884425</v>
      </c>
    </row>
    <row r="47" spans="2:7" ht="18.75" customHeight="1">
      <c r="B47" s="1">
        <v>40</v>
      </c>
      <c r="C47" s="2">
        <v>46273</v>
      </c>
      <c r="D47" s="3" t="s">
        <v>388</v>
      </c>
      <c r="E47" s="4"/>
      <c r="F47" s="33">
        <v>2940000</v>
      </c>
      <c r="G47" s="5">
        <f t="shared" si="0"/>
        <v>114944425</v>
      </c>
    </row>
    <row r="48" spans="2:7" ht="18.75" customHeight="1">
      <c r="B48" s="1">
        <v>41</v>
      </c>
      <c r="C48" s="2">
        <v>46273</v>
      </c>
      <c r="D48" s="3" t="s">
        <v>389</v>
      </c>
      <c r="E48" s="4"/>
      <c r="F48" s="33">
        <v>624000</v>
      </c>
      <c r="G48" s="5">
        <f t="shared" si="0"/>
        <v>114320425</v>
      </c>
    </row>
    <row r="49" spans="2:7" ht="18.75" customHeight="1">
      <c r="B49" s="1">
        <v>42</v>
      </c>
      <c r="C49" s="2">
        <v>46273</v>
      </c>
      <c r="D49" s="3" t="s">
        <v>390</v>
      </c>
      <c r="E49" s="4"/>
      <c r="F49" s="34">
        <v>6000000</v>
      </c>
      <c r="G49" s="5">
        <f t="shared" si="0"/>
        <v>108320425</v>
      </c>
    </row>
    <row r="50" spans="2:7" ht="18.75" customHeight="1">
      <c r="B50" s="1">
        <v>43</v>
      </c>
      <c r="C50" s="2">
        <v>46274</v>
      </c>
      <c r="D50" s="3" t="s">
        <v>388</v>
      </c>
      <c r="E50" s="4"/>
      <c r="F50" s="33">
        <v>6290000</v>
      </c>
      <c r="G50" s="5">
        <f t="shared" si="0"/>
        <v>102030425</v>
      </c>
    </row>
    <row r="51" spans="2:7" ht="18.75" customHeight="1">
      <c r="B51" s="1">
        <v>44</v>
      </c>
      <c r="C51" s="2">
        <v>46275</v>
      </c>
      <c r="D51" s="3" t="s">
        <v>340</v>
      </c>
      <c r="E51" s="4"/>
      <c r="F51" s="33">
        <v>1827000</v>
      </c>
      <c r="G51" s="5">
        <f t="shared" si="0"/>
        <v>100203425</v>
      </c>
    </row>
    <row r="52" spans="2:7" ht="18.75" customHeight="1">
      <c r="B52" s="1">
        <v>45</v>
      </c>
      <c r="C52" s="2">
        <v>46276</v>
      </c>
      <c r="D52" s="3" t="s">
        <v>391</v>
      </c>
      <c r="E52" s="4"/>
      <c r="F52" s="33">
        <v>215000</v>
      </c>
      <c r="G52" s="5">
        <f t="shared" si="0"/>
        <v>99988425</v>
      </c>
    </row>
    <row r="53" spans="2:7" ht="18.75" customHeight="1">
      <c r="B53" s="1">
        <v>46</v>
      </c>
      <c r="C53" s="2">
        <v>46276</v>
      </c>
      <c r="D53" s="3" t="s">
        <v>392</v>
      </c>
      <c r="E53" s="4"/>
      <c r="F53" s="38">
        <v>50000</v>
      </c>
      <c r="G53" s="5">
        <f t="shared" si="0"/>
        <v>99938425</v>
      </c>
    </row>
    <row r="54" spans="2:7" ht="18.75" customHeight="1">
      <c r="B54" s="1">
        <v>47</v>
      </c>
      <c r="C54" s="2">
        <v>46276</v>
      </c>
      <c r="D54" s="3" t="s">
        <v>345</v>
      </c>
      <c r="E54" s="4"/>
      <c r="F54" s="34">
        <v>9611100</v>
      </c>
      <c r="G54" s="5">
        <f t="shared" si="0"/>
        <v>90327325</v>
      </c>
    </row>
    <row r="55" spans="2:7" ht="18.75" customHeight="1">
      <c r="B55" s="1">
        <v>48</v>
      </c>
      <c r="C55" s="2">
        <v>46276</v>
      </c>
      <c r="D55" s="3" t="s">
        <v>393</v>
      </c>
      <c r="E55" s="4"/>
      <c r="F55" s="34">
        <v>2000000</v>
      </c>
      <c r="G55" s="5">
        <f t="shared" si="0"/>
        <v>88327325</v>
      </c>
    </row>
    <row r="56" spans="2:7" ht="18.75" customHeight="1">
      <c r="B56" s="1">
        <v>49</v>
      </c>
      <c r="C56" s="2">
        <v>46276</v>
      </c>
      <c r="D56" s="3" t="s">
        <v>385</v>
      </c>
      <c r="E56" s="4"/>
      <c r="F56" s="34">
        <v>5000000</v>
      </c>
      <c r="G56" s="5">
        <f t="shared" si="0"/>
        <v>83327325</v>
      </c>
    </row>
    <row r="57" spans="2:7" ht="18.75" customHeight="1">
      <c r="B57" s="1">
        <v>50</v>
      </c>
      <c r="C57" s="2">
        <v>46277</v>
      </c>
      <c r="D57" s="3" t="s">
        <v>394</v>
      </c>
      <c r="E57" s="4">
        <v>111000000</v>
      </c>
      <c r="F57" s="4"/>
      <c r="G57" s="5">
        <f>G56+E57</f>
        <v>194327325</v>
      </c>
    </row>
    <row r="58" spans="2:7" ht="18.75" customHeight="1">
      <c r="B58" s="1">
        <v>51</v>
      </c>
      <c r="C58" s="2">
        <v>46279</v>
      </c>
      <c r="D58" s="3" t="s">
        <v>340</v>
      </c>
      <c r="E58" s="4"/>
      <c r="F58" s="33">
        <v>710000</v>
      </c>
      <c r="G58" s="5">
        <f>G57-F58</f>
        <v>193617325</v>
      </c>
    </row>
    <row r="59" spans="2:7" ht="18.75" customHeight="1">
      <c r="B59" s="1">
        <v>52</v>
      </c>
      <c r="C59" s="2">
        <v>46280</v>
      </c>
      <c r="D59" s="3" t="s">
        <v>395</v>
      </c>
      <c r="E59" s="4"/>
      <c r="F59" s="33">
        <v>4030000</v>
      </c>
      <c r="G59" s="5">
        <f>G58-F59</f>
        <v>189587325</v>
      </c>
    </row>
    <row r="60" spans="2:7" ht="18.75" customHeight="1">
      <c r="B60" s="1">
        <v>53</v>
      </c>
      <c r="C60" s="2">
        <v>46282</v>
      </c>
      <c r="D60" s="3" t="s">
        <v>340</v>
      </c>
      <c r="E60" s="4"/>
      <c r="F60" s="33">
        <v>1300000</v>
      </c>
      <c r="G60" s="5">
        <f t="shared" ref="G60:G81" si="1">G59-F60</f>
        <v>188287325</v>
      </c>
    </row>
    <row r="61" spans="2:7" ht="18.75" customHeight="1">
      <c r="B61" s="1">
        <v>54</v>
      </c>
      <c r="C61" s="2">
        <v>46282</v>
      </c>
      <c r="D61" s="3" t="s">
        <v>388</v>
      </c>
      <c r="E61" s="4"/>
      <c r="F61" s="33">
        <v>765000</v>
      </c>
      <c r="G61" s="5">
        <f t="shared" si="1"/>
        <v>187522325</v>
      </c>
    </row>
    <row r="62" spans="2:7" ht="18.75" customHeight="1">
      <c r="B62" s="1">
        <v>55</v>
      </c>
      <c r="C62" s="2">
        <v>46283</v>
      </c>
      <c r="D62" s="3" t="s">
        <v>345</v>
      </c>
      <c r="E62" s="4"/>
      <c r="F62" s="34">
        <v>11356100</v>
      </c>
      <c r="G62" s="5">
        <f t="shared" si="1"/>
        <v>176166225</v>
      </c>
    </row>
    <row r="63" spans="2:7" ht="18.75" customHeight="1">
      <c r="B63" s="1">
        <v>56</v>
      </c>
      <c r="C63" s="2">
        <v>46284</v>
      </c>
      <c r="D63" s="3" t="s">
        <v>387</v>
      </c>
      <c r="E63" s="4"/>
      <c r="F63" s="34">
        <v>2000000</v>
      </c>
      <c r="G63" s="5">
        <f t="shared" si="1"/>
        <v>174166225</v>
      </c>
    </row>
    <row r="64" spans="2:7" ht="18.75" customHeight="1">
      <c r="B64" s="1">
        <v>57</v>
      </c>
      <c r="C64" s="2">
        <v>46284</v>
      </c>
      <c r="D64" s="3" t="s">
        <v>340</v>
      </c>
      <c r="E64" s="4"/>
      <c r="F64" s="33">
        <v>1956000</v>
      </c>
      <c r="G64" s="5">
        <f t="shared" si="1"/>
        <v>172210225</v>
      </c>
    </row>
    <row r="65" spans="2:7" ht="18.75" customHeight="1">
      <c r="B65" s="1">
        <v>58</v>
      </c>
      <c r="C65" s="2">
        <v>46286</v>
      </c>
      <c r="D65" s="3" t="s">
        <v>340</v>
      </c>
      <c r="E65" s="4"/>
      <c r="F65" s="33">
        <v>1741000</v>
      </c>
      <c r="G65" s="5">
        <f t="shared" si="1"/>
        <v>170469225</v>
      </c>
    </row>
    <row r="66" spans="2:7" ht="18.75" customHeight="1">
      <c r="B66" s="1">
        <v>59</v>
      </c>
      <c r="C66" s="2">
        <v>46286</v>
      </c>
      <c r="D66" s="3" t="s">
        <v>341</v>
      </c>
      <c r="E66" s="4"/>
      <c r="F66" s="34">
        <v>1000000</v>
      </c>
      <c r="G66" s="5">
        <f t="shared" si="1"/>
        <v>169469225</v>
      </c>
    </row>
    <row r="67" spans="2:7" ht="18.75" customHeight="1">
      <c r="B67" s="1">
        <v>60</v>
      </c>
      <c r="C67" s="2">
        <v>46287</v>
      </c>
      <c r="D67" s="3" t="s">
        <v>396</v>
      </c>
      <c r="E67" s="4"/>
      <c r="F67" s="59">
        <v>1248000</v>
      </c>
      <c r="G67" s="5">
        <f t="shared" si="1"/>
        <v>168221225</v>
      </c>
    </row>
    <row r="68" spans="2:7" ht="18.75" customHeight="1">
      <c r="B68" s="1">
        <v>61</v>
      </c>
      <c r="C68" s="2">
        <v>46288</v>
      </c>
      <c r="D68" s="3" t="s">
        <v>397</v>
      </c>
      <c r="E68" s="4"/>
      <c r="F68" s="33">
        <v>2308000</v>
      </c>
      <c r="G68" s="5">
        <f t="shared" si="1"/>
        <v>165913225</v>
      </c>
    </row>
    <row r="69" spans="2:7" ht="18.75" customHeight="1">
      <c r="B69" s="1">
        <v>62</v>
      </c>
      <c r="C69" s="2">
        <v>46290</v>
      </c>
      <c r="D69" s="3" t="s">
        <v>340</v>
      </c>
      <c r="E69" s="4"/>
      <c r="F69" s="33">
        <v>620000</v>
      </c>
      <c r="G69" s="5">
        <f t="shared" si="1"/>
        <v>165293225</v>
      </c>
    </row>
    <row r="70" spans="2:7" ht="18.75" customHeight="1">
      <c r="B70" s="1">
        <v>63</v>
      </c>
      <c r="C70" s="2">
        <v>46290</v>
      </c>
      <c r="D70" s="3" t="s">
        <v>388</v>
      </c>
      <c r="E70" s="4"/>
      <c r="F70" s="33">
        <v>881600</v>
      </c>
      <c r="G70" s="5">
        <f t="shared" si="1"/>
        <v>164411625</v>
      </c>
    </row>
    <row r="71" spans="2:7" ht="18.75" customHeight="1">
      <c r="B71" s="1">
        <v>64</v>
      </c>
      <c r="C71" s="2">
        <v>46290</v>
      </c>
      <c r="D71" s="3" t="s">
        <v>345</v>
      </c>
      <c r="E71" s="4"/>
      <c r="F71" s="34">
        <v>12338100</v>
      </c>
      <c r="G71" s="5">
        <f t="shared" si="1"/>
        <v>152073525</v>
      </c>
    </row>
    <row r="72" spans="2:7" ht="18.75" customHeight="1">
      <c r="B72" s="1">
        <v>65</v>
      </c>
      <c r="C72" s="2">
        <v>46291</v>
      </c>
      <c r="D72" s="3" t="s">
        <v>340</v>
      </c>
      <c r="E72" s="4"/>
      <c r="F72" s="33">
        <v>2521000</v>
      </c>
      <c r="G72" s="5">
        <f t="shared" si="1"/>
        <v>149552525</v>
      </c>
    </row>
    <row r="73" spans="2:7" ht="18.75" customHeight="1">
      <c r="B73" s="1">
        <v>66</v>
      </c>
      <c r="C73" s="2">
        <v>46291</v>
      </c>
      <c r="D73" s="3" t="s">
        <v>387</v>
      </c>
      <c r="E73" s="4"/>
      <c r="F73" s="34">
        <v>1000000</v>
      </c>
      <c r="G73" s="5">
        <f t="shared" si="1"/>
        <v>148552525</v>
      </c>
    </row>
    <row r="74" spans="2:7" ht="18.75" customHeight="1">
      <c r="B74" s="1">
        <v>67</v>
      </c>
      <c r="C74" s="2">
        <v>46293</v>
      </c>
      <c r="D74" s="3" t="s">
        <v>341</v>
      </c>
      <c r="E74" s="4"/>
      <c r="F74" s="34">
        <v>2000000</v>
      </c>
      <c r="G74" s="5">
        <f t="shared" si="1"/>
        <v>146552525</v>
      </c>
    </row>
    <row r="75" spans="2:7" ht="18.75" customHeight="1">
      <c r="B75" s="1">
        <v>68</v>
      </c>
      <c r="C75" s="2">
        <v>46294</v>
      </c>
      <c r="D75" s="3" t="s">
        <v>340</v>
      </c>
      <c r="E75" s="4"/>
      <c r="F75" s="33">
        <v>3282000</v>
      </c>
      <c r="G75" s="5">
        <f t="shared" si="1"/>
        <v>143270525</v>
      </c>
    </row>
    <row r="76" spans="2:7" ht="18.75" customHeight="1">
      <c r="B76" s="1">
        <v>69</v>
      </c>
      <c r="C76" s="2">
        <v>46297</v>
      </c>
      <c r="D76" s="3" t="s">
        <v>340</v>
      </c>
      <c r="E76" s="4"/>
      <c r="F76" s="33">
        <v>1050000</v>
      </c>
      <c r="G76" s="5">
        <f t="shared" si="1"/>
        <v>142220525</v>
      </c>
    </row>
    <row r="77" spans="2:7" ht="18.75" customHeight="1">
      <c r="B77" s="1">
        <v>70</v>
      </c>
      <c r="C77" s="2">
        <v>46297</v>
      </c>
      <c r="D77" s="3" t="s">
        <v>345</v>
      </c>
      <c r="E77" s="4"/>
      <c r="F77" s="34">
        <f>8750950+420000+150000</f>
        <v>9320950</v>
      </c>
      <c r="G77" s="5">
        <f t="shared" si="1"/>
        <v>132899575</v>
      </c>
    </row>
    <row r="78" spans="2:7" ht="18.75" customHeight="1">
      <c r="B78" s="1">
        <v>71</v>
      </c>
      <c r="C78" s="2">
        <v>46297</v>
      </c>
      <c r="D78" s="3" t="s">
        <v>398</v>
      </c>
      <c r="E78" s="4"/>
      <c r="F78" s="33">
        <v>1850000</v>
      </c>
      <c r="G78" s="5">
        <f t="shared" si="1"/>
        <v>131049575</v>
      </c>
    </row>
    <row r="79" spans="2:7" ht="18.75" customHeight="1">
      <c r="B79" s="1">
        <v>72</v>
      </c>
      <c r="C79" s="2">
        <v>46300</v>
      </c>
      <c r="D79" s="3" t="s">
        <v>341</v>
      </c>
      <c r="E79" s="4"/>
      <c r="F79" s="34">
        <v>1000000</v>
      </c>
      <c r="G79" s="5">
        <f t="shared" si="1"/>
        <v>130049575</v>
      </c>
    </row>
    <row r="80" spans="2:7" ht="18.75" customHeight="1">
      <c r="B80" s="1">
        <v>73</v>
      </c>
      <c r="C80" s="2">
        <v>46302</v>
      </c>
      <c r="D80" s="3" t="s">
        <v>340</v>
      </c>
      <c r="E80" s="4"/>
      <c r="F80" s="33">
        <v>1880000</v>
      </c>
      <c r="G80" s="5">
        <f t="shared" si="1"/>
        <v>128169575</v>
      </c>
    </row>
    <row r="81" spans="2:7" ht="18.75" customHeight="1">
      <c r="B81" s="1">
        <v>74</v>
      </c>
      <c r="C81" s="2">
        <v>46302</v>
      </c>
      <c r="D81" s="3" t="s">
        <v>387</v>
      </c>
      <c r="E81" s="4"/>
      <c r="F81" s="34">
        <v>500000</v>
      </c>
      <c r="G81" s="5">
        <f t="shared" si="1"/>
        <v>127669575</v>
      </c>
    </row>
    <row r="82" spans="2:7" ht="18.75" customHeight="1">
      <c r="B82" s="1">
        <v>75</v>
      </c>
      <c r="C82" s="2">
        <v>46304</v>
      </c>
      <c r="D82" s="3" t="s">
        <v>345</v>
      </c>
      <c r="E82" s="4"/>
      <c r="F82" s="4">
        <v>4875700</v>
      </c>
      <c r="G82" s="5"/>
    </row>
    <row r="83" spans="2:7" ht="18.75" customHeight="1">
      <c r="B83" s="1"/>
      <c r="C83" s="2"/>
      <c r="D83" s="3"/>
      <c r="E83" s="4"/>
      <c r="F83" s="4"/>
      <c r="G83" s="5"/>
    </row>
    <row r="84" spans="2:7" ht="18.75" customHeight="1">
      <c r="B84" s="1"/>
      <c r="C84" s="2"/>
      <c r="D84" s="3"/>
      <c r="E84" s="4"/>
      <c r="F84" s="4"/>
      <c r="G84" s="5"/>
    </row>
    <row r="85" spans="2:7" ht="18.75" customHeight="1">
      <c r="B85" s="1"/>
      <c r="C85" s="2"/>
      <c r="D85" s="3"/>
      <c r="E85" s="4"/>
      <c r="F85" s="4"/>
      <c r="G85" s="5"/>
    </row>
    <row r="86" spans="2:7" ht="18.75" customHeight="1" thickBot="1">
      <c r="B86" s="1"/>
      <c r="C86" s="2"/>
      <c r="D86" s="10"/>
      <c r="E86" s="4"/>
      <c r="F86" s="4"/>
      <c r="G86" s="5"/>
    </row>
    <row r="87" spans="2:7" ht="18.75" customHeight="1" thickTop="1" thickBot="1">
      <c r="B87" s="66" t="s">
        <v>337</v>
      </c>
      <c r="C87" s="97"/>
      <c r="D87" s="67"/>
      <c r="E87" s="9">
        <f>SUM(E7:E86)</f>
        <v>388500000</v>
      </c>
      <c r="F87" s="9">
        <f>SUM(F7:F86)</f>
        <v>265706125</v>
      </c>
      <c r="G87" s="60">
        <f>E87-F87</f>
        <v>122793875</v>
      </c>
    </row>
    <row r="88" spans="2:7" ht="15.75" thickTop="1">
      <c r="E88" s="48"/>
      <c r="G88" s="55">
        <f>G87/E87</f>
        <v>0.31607175032175033</v>
      </c>
    </row>
  </sheetData>
  <mergeCells count="5">
    <mergeCell ref="B2:G2"/>
    <mergeCell ref="B3:G3"/>
    <mergeCell ref="B4:G4"/>
    <mergeCell ref="B5:G5"/>
    <mergeCell ref="B87:D87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1ED8-11E4-4A47-AD36-A77C5BED024A}">
  <dimension ref="B1:L206"/>
  <sheetViews>
    <sheetView topLeftCell="A185" workbookViewId="0">
      <selection activeCell="F200" sqref="F200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  <col min="11" max="12" width="22.85546875" customWidth="1"/>
  </cols>
  <sheetData>
    <row r="1" spans="2:12" ht="15.75" thickBot="1"/>
    <row r="2" spans="2:12" ht="25.5" customHeight="1" thickTop="1">
      <c r="B2" s="85" t="s">
        <v>1</v>
      </c>
      <c r="C2" s="86"/>
      <c r="D2" s="86"/>
      <c r="E2" s="86"/>
      <c r="F2" s="86"/>
      <c r="G2" s="87"/>
    </row>
    <row r="3" spans="2:12" ht="25.5" customHeight="1">
      <c r="B3" s="88" t="s">
        <v>399</v>
      </c>
      <c r="C3" s="98"/>
      <c r="D3" s="98"/>
      <c r="E3" s="98"/>
      <c r="F3" s="98"/>
      <c r="G3" s="90"/>
    </row>
    <row r="4" spans="2:12" ht="25.5" customHeight="1">
      <c r="B4" s="91" t="s">
        <v>2</v>
      </c>
      <c r="C4" s="99"/>
      <c r="D4" s="99"/>
      <c r="E4" s="99"/>
      <c r="F4" s="99"/>
      <c r="G4" s="93"/>
    </row>
    <row r="5" spans="2:12" ht="25.5" customHeight="1" thickBot="1">
      <c r="B5" s="94">
        <v>2026</v>
      </c>
      <c r="C5" s="95"/>
      <c r="D5" s="95"/>
      <c r="E5" s="95"/>
      <c r="F5" s="95"/>
      <c r="G5" s="96"/>
    </row>
    <row r="6" spans="2:12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2" ht="18.75" customHeight="1" thickTop="1">
      <c r="B7" s="1">
        <v>1</v>
      </c>
      <c r="C7" s="2">
        <v>46182</v>
      </c>
      <c r="D7" s="3" t="s">
        <v>339</v>
      </c>
      <c r="E7" s="4">
        <v>192500000</v>
      </c>
      <c r="F7" s="4"/>
      <c r="G7" s="5">
        <f>E7</f>
        <v>192500000</v>
      </c>
      <c r="I7" s="16" t="s">
        <v>27</v>
      </c>
      <c r="J7" s="39">
        <f>SUM(K7:L7)</f>
        <v>195624426</v>
      </c>
      <c r="K7" s="57">
        <f>SUM(F9:F17,F19,F23,F25,F27,F29,F31,F32,F34,F36,F38:F39,F41:F50,F52:F55,F57,F60:F74,F76:F77,F80,F82:F90,F92:F95,F98:F101,F104:F106,F108,F110:F111,F113:F117,F119:F121,F123:F125,F129,F131:F141,F143,F145:F152,F155:F157,F160:F162,F165:F169,F171)</f>
        <v>184308569</v>
      </c>
      <c r="L7" s="57">
        <f>SUM(F173,F175:F178,F185:F186,F188:F189,F192,F194:F195,F197:F198)</f>
        <v>11315857</v>
      </c>
    </row>
    <row r="8" spans="2:12" ht="18.75" customHeight="1">
      <c r="B8" s="1">
        <v>2</v>
      </c>
      <c r="C8" s="2">
        <v>46182</v>
      </c>
      <c r="D8" s="3" t="s">
        <v>360</v>
      </c>
      <c r="E8" s="4"/>
      <c r="F8" s="34">
        <v>860000</v>
      </c>
      <c r="G8" s="5">
        <f>G7-F8</f>
        <v>191640000</v>
      </c>
      <c r="I8" s="17" t="s">
        <v>28</v>
      </c>
      <c r="J8" s="5">
        <f>F8+F18+F20+F22+F24+F26+F28+F33+F35+F37+F40+F58+SUM(F78:F79)+F81+SUM(F96:F97)+F112+F118+SUM(F126:F128)+F142+F144+SUM(F153:F154)+F158+F174+SUM(F179:F183)+F187+SUM(F190:F191)+F193+F196</f>
        <v>157008500</v>
      </c>
    </row>
    <row r="9" spans="2:12" ht="18.75" customHeight="1">
      <c r="B9" s="1">
        <v>3</v>
      </c>
      <c r="C9" s="2">
        <v>46183</v>
      </c>
      <c r="D9" s="3" t="s">
        <v>400</v>
      </c>
      <c r="E9" s="4"/>
      <c r="F9" s="33">
        <v>3000</v>
      </c>
      <c r="G9" s="5">
        <f t="shared" ref="G9:G63" si="0">G8-F9</f>
        <v>191637000</v>
      </c>
      <c r="I9" s="18" t="s">
        <v>29</v>
      </c>
      <c r="J9" s="5"/>
    </row>
    <row r="10" spans="2:12" ht="18.75" customHeight="1" thickBot="1">
      <c r="B10" s="1">
        <v>4</v>
      </c>
      <c r="C10" s="2">
        <v>46185</v>
      </c>
      <c r="D10" s="3" t="s">
        <v>401</v>
      </c>
      <c r="E10" s="4"/>
      <c r="F10" s="33">
        <v>58000</v>
      </c>
      <c r="G10" s="5">
        <f t="shared" si="0"/>
        <v>191579000</v>
      </c>
      <c r="I10" s="37" t="s">
        <v>30</v>
      </c>
      <c r="J10" s="15">
        <f>F21+F30+F51+F56+F59+F75+F91+SUM(F102:F103,F109)+F122+F130+F159+SUM(F163:F164)+F170</f>
        <v>2471000</v>
      </c>
    </row>
    <row r="11" spans="2:12" ht="18.75" customHeight="1" thickTop="1">
      <c r="B11" s="1">
        <v>5</v>
      </c>
      <c r="C11" s="2">
        <v>46185</v>
      </c>
      <c r="D11" s="3" t="s">
        <v>276</v>
      </c>
      <c r="E11" s="4"/>
      <c r="F11" s="33">
        <v>31000</v>
      </c>
      <c r="G11" s="5">
        <f t="shared" si="0"/>
        <v>191548000</v>
      </c>
      <c r="J11" s="35">
        <f>SUM(J7:J10)</f>
        <v>355103926</v>
      </c>
    </row>
    <row r="12" spans="2:12" ht="18.75" customHeight="1">
      <c r="B12" s="1">
        <v>6</v>
      </c>
      <c r="C12" s="2">
        <v>46190</v>
      </c>
      <c r="D12" s="3" t="s">
        <v>374</v>
      </c>
      <c r="E12" s="4"/>
      <c r="F12" s="33">
        <v>917500</v>
      </c>
      <c r="G12" s="5">
        <f t="shared" si="0"/>
        <v>190630500</v>
      </c>
    </row>
    <row r="13" spans="2:12" ht="18.75" customHeight="1">
      <c r="B13" s="1">
        <v>7</v>
      </c>
      <c r="C13" s="2">
        <v>46191</v>
      </c>
      <c r="D13" s="10" t="s">
        <v>402</v>
      </c>
      <c r="E13" s="4"/>
      <c r="F13" s="33">
        <v>140000</v>
      </c>
      <c r="G13" s="5">
        <f t="shared" si="0"/>
        <v>190490500</v>
      </c>
      <c r="I13" t="s">
        <v>403</v>
      </c>
      <c r="J13" s="35">
        <f>F78+F96+F112+F126+F144+F158+F174+F180+F190+F193+F196</f>
        <v>60000000</v>
      </c>
    </row>
    <row r="14" spans="2:12" ht="18.75" customHeight="1">
      <c r="B14" s="1">
        <v>8</v>
      </c>
      <c r="C14" s="2">
        <v>46192</v>
      </c>
      <c r="D14" s="10" t="s">
        <v>398</v>
      </c>
      <c r="E14" s="4"/>
      <c r="F14" s="33">
        <v>350000</v>
      </c>
      <c r="G14" s="5">
        <f t="shared" si="0"/>
        <v>190140500</v>
      </c>
      <c r="I14" t="s">
        <v>404</v>
      </c>
      <c r="J14" s="35">
        <f>(37000000+18000000+3000000+2000000)-J13</f>
        <v>0</v>
      </c>
    </row>
    <row r="15" spans="2:12" ht="18.75" customHeight="1">
      <c r="B15" s="1">
        <v>9</v>
      </c>
      <c r="C15" s="2">
        <v>46193</v>
      </c>
      <c r="D15" s="10" t="s">
        <v>374</v>
      </c>
      <c r="E15" s="4"/>
      <c r="F15" s="33">
        <v>437500</v>
      </c>
      <c r="G15" s="5">
        <f t="shared" si="0"/>
        <v>189703000</v>
      </c>
    </row>
    <row r="16" spans="2:12" ht="18.75" customHeight="1">
      <c r="B16" s="1">
        <v>10</v>
      </c>
      <c r="C16" s="2">
        <v>46193</v>
      </c>
      <c r="D16" s="10" t="s">
        <v>398</v>
      </c>
      <c r="E16" s="4"/>
      <c r="F16" s="33">
        <v>700000</v>
      </c>
      <c r="G16" s="5">
        <f t="shared" si="0"/>
        <v>189003000</v>
      </c>
      <c r="J16" s="35"/>
    </row>
    <row r="17" spans="2:10" ht="18.75" customHeight="1">
      <c r="B17" s="1">
        <v>11</v>
      </c>
      <c r="C17" s="2">
        <v>46193</v>
      </c>
      <c r="D17" s="10" t="s">
        <v>405</v>
      </c>
      <c r="E17" s="4"/>
      <c r="F17" s="33">
        <v>178000</v>
      </c>
      <c r="G17" s="5">
        <f t="shared" si="0"/>
        <v>188825000</v>
      </c>
    </row>
    <row r="18" spans="2:10" ht="18.75" customHeight="1">
      <c r="B18" s="1">
        <v>12</v>
      </c>
      <c r="C18" s="2">
        <v>46193</v>
      </c>
      <c r="D18" s="10" t="s">
        <v>365</v>
      </c>
      <c r="E18" s="4"/>
      <c r="F18" s="34">
        <v>3200000</v>
      </c>
      <c r="G18" s="5">
        <f t="shared" si="0"/>
        <v>185625000</v>
      </c>
      <c r="J18" s="35"/>
    </row>
    <row r="19" spans="2:10" ht="18.75" customHeight="1">
      <c r="B19" s="1">
        <v>13</v>
      </c>
      <c r="C19" s="2">
        <v>46194</v>
      </c>
      <c r="D19" s="10" t="s">
        <v>406</v>
      </c>
      <c r="E19" s="4"/>
      <c r="F19" s="33">
        <v>1570000</v>
      </c>
      <c r="G19" s="5">
        <f t="shared" si="0"/>
        <v>184055000</v>
      </c>
    </row>
    <row r="20" spans="2:10" ht="18.75" customHeight="1">
      <c r="B20" s="1">
        <v>14</v>
      </c>
      <c r="C20" s="2">
        <v>46195</v>
      </c>
      <c r="D20" s="10" t="s">
        <v>360</v>
      </c>
      <c r="E20" s="4"/>
      <c r="F20" s="34">
        <v>500000</v>
      </c>
      <c r="G20" s="5">
        <f t="shared" si="0"/>
        <v>183555000</v>
      </c>
      <c r="J20" s="35"/>
    </row>
    <row r="21" spans="2:10" ht="18.75" customHeight="1">
      <c r="B21" s="1">
        <v>15</v>
      </c>
      <c r="C21" s="2">
        <v>46196</v>
      </c>
      <c r="D21" s="10" t="s">
        <v>407</v>
      </c>
      <c r="E21" s="4"/>
      <c r="F21" s="38">
        <v>244000</v>
      </c>
      <c r="G21" s="5">
        <f t="shared" si="0"/>
        <v>183311000</v>
      </c>
    </row>
    <row r="22" spans="2:10" ht="18.75" customHeight="1">
      <c r="B22" s="1">
        <v>16</v>
      </c>
      <c r="C22" s="2">
        <v>46197</v>
      </c>
      <c r="D22" s="10" t="s">
        <v>360</v>
      </c>
      <c r="E22" s="4"/>
      <c r="F22" s="34">
        <v>1000000</v>
      </c>
      <c r="G22" s="5">
        <f t="shared" si="0"/>
        <v>182311000</v>
      </c>
    </row>
    <row r="23" spans="2:10" ht="18.75" customHeight="1">
      <c r="B23" s="1">
        <v>17</v>
      </c>
      <c r="C23" s="2">
        <v>46198</v>
      </c>
      <c r="D23" s="10" t="s">
        <v>408</v>
      </c>
      <c r="E23" s="4"/>
      <c r="F23" s="33">
        <v>6670000</v>
      </c>
      <c r="G23" s="5">
        <f t="shared" si="0"/>
        <v>175641000</v>
      </c>
    </row>
    <row r="24" spans="2:10" ht="18.75" customHeight="1">
      <c r="B24" s="1">
        <v>18</v>
      </c>
      <c r="C24" s="2">
        <v>45835</v>
      </c>
      <c r="D24" s="10" t="s">
        <v>409</v>
      </c>
      <c r="E24" s="4"/>
      <c r="F24" s="34">
        <v>260000</v>
      </c>
      <c r="G24" s="5">
        <f t="shared" si="0"/>
        <v>175381000</v>
      </c>
    </row>
    <row r="25" spans="2:10" ht="18.75" customHeight="1">
      <c r="B25" s="1">
        <v>19</v>
      </c>
      <c r="C25" s="2">
        <v>45835</v>
      </c>
      <c r="D25" s="10" t="s">
        <v>410</v>
      </c>
      <c r="E25" s="4"/>
      <c r="F25" s="33">
        <v>367000</v>
      </c>
      <c r="G25" s="5">
        <f t="shared" si="0"/>
        <v>175014000</v>
      </c>
    </row>
    <row r="26" spans="2:10" ht="18.75" customHeight="1">
      <c r="B26" s="1">
        <v>20</v>
      </c>
      <c r="C26" s="2">
        <v>45835</v>
      </c>
      <c r="D26" s="10" t="s">
        <v>365</v>
      </c>
      <c r="E26" s="4"/>
      <c r="F26" s="34">
        <v>5365000</v>
      </c>
      <c r="G26" s="5">
        <f t="shared" si="0"/>
        <v>169649000</v>
      </c>
    </row>
    <row r="27" spans="2:10" ht="18.75" customHeight="1">
      <c r="B27" s="1">
        <v>21</v>
      </c>
      <c r="C27" s="2">
        <v>46201</v>
      </c>
      <c r="D27" s="10" t="s">
        <v>398</v>
      </c>
      <c r="E27" s="4"/>
      <c r="F27" s="33">
        <v>350000</v>
      </c>
      <c r="G27" s="5">
        <f t="shared" si="0"/>
        <v>169299000</v>
      </c>
    </row>
    <row r="28" spans="2:10" ht="18.75" customHeight="1">
      <c r="B28" s="1">
        <v>22</v>
      </c>
      <c r="C28" s="2">
        <v>46203</v>
      </c>
      <c r="D28" s="10" t="s">
        <v>360</v>
      </c>
      <c r="E28" s="4"/>
      <c r="F28" s="34">
        <v>500000</v>
      </c>
      <c r="G28" s="5">
        <f t="shared" si="0"/>
        <v>168799000</v>
      </c>
    </row>
    <row r="29" spans="2:10" ht="18.75" customHeight="1">
      <c r="B29" s="1">
        <v>23</v>
      </c>
      <c r="C29" s="2">
        <v>46204</v>
      </c>
      <c r="D29" s="10" t="s">
        <v>374</v>
      </c>
      <c r="E29" s="4"/>
      <c r="F29" s="33">
        <v>2822000</v>
      </c>
      <c r="G29" s="5">
        <f t="shared" si="0"/>
        <v>165977000</v>
      </c>
    </row>
    <row r="30" spans="2:10" ht="18.75" customHeight="1">
      <c r="B30" s="1">
        <v>24</v>
      </c>
      <c r="C30" s="2">
        <v>46204</v>
      </c>
      <c r="D30" s="10" t="s">
        <v>245</v>
      </c>
      <c r="E30" s="4"/>
      <c r="F30" s="38">
        <v>92000</v>
      </c>
      <c r="G30" s="5">
        <f t="shared" si="0"/>
        <v>165885000</v>
      </c>
    </row>
    <row r="31" spans="2:10" ht="18.75" customHeight="1">
      <c r="B31" s="1">
        <v>25</v>
      </c>
      <c r="C31" s="2">
        <v>46205</v>
      </c>
      <c r="D31" s="10" t="s">
        <v>411</v>
      </c>
      <c r="E31" s="4"/>
      <c r="F31" s="33">
        <v>1627000</v>
      </c>
      <c r="G31" s="5">
        <f t="shared" si="0"/>
        <v>164258000</v>
      </c>
    </row>
    <row r="32" spans="2:10" ht="18.75" customHeight="1">
      <c r="B32" s="1">
        <v>26</v>
      </c>
      <c r="C32" s="2">
        <v>46205</v>
      </c>
      <c r="D32" s="10" t="s">
        <v>412</v>
      </c>
      <c r="E32" s="4"/>
      <c r="F32" s="33">
        <v>5447200</v>
      </c>
      <c r="G32" s="5">
        <f t="shared" si="0"/>
        <v>158810800</v>
      </c>
    </row>
    <row r="33" spans="2:7" ht="18.75" customHeight="1">
      <c r="B33" s="1">
        <v>27</v>
      </c>
      <c r="C33" s="2">
        <v>46205</v>
      </c>
      <c r="D33" s="10" t="s">
        <v>360</v>
      </c>
      <c r="E33" s="4"/>
      <c r="F33" s="34">
        <v>1000000</v>
      </c>
      <c r="G33" s="5">
        <f t="shared" si="0"/>
        <v>157810800</v>
      </c>
    </row>
    <row r="34" spans="2:7" ht="18.75" customHeight="1">
      <c r="B34" s="1">
        <v>28</v>
      </c>
      <c r="C34" s="2">
        <v>46206</v>
      </c>
      <c r="D34" s="10" t="s">
        <v>374</v>
      </c>
      <c r="E34" s="4"/>
      <c r="F34" s="33">
        <v>1867000</v>
      </c>
      <c r="G34" s="5">
        <f t="shared" si="0"/>
        <v>155943800</v>
      </c>
    </row>
    <row r="35" spans="2:7" ht="18.75" customHeight="1">
      <c r="B35" s="1">
        <v>29</v>
      </c>
      <c r="C35" s="2">
        <v>46207</v>
      </c>
      <c r="D35" s="10" t="s">
        <v>365</v>
      </c>
      <c r="E35" s="4"/>
      <c r="F35" s="34">
        <v>7240000</v>
      </c>
      <c r="G35" s="5">
        <f t="shared" si="0"/>
        <v>148703800</v>
      </c>
    </row>
    <row r="36" spans="2:7" ht="18.75" customHeight="1">
      <c r="B36" s="1">
        <v>30</v>
      </c>
      <c r="C36" s="2">
        <v>46211</v>
      </c>
      <c r="D36" s="10" t="s">
        <v>374</v>
      </c>
      <c r="E36" s="4"/>
      <c r="F36" s="33">
        <v>1360000</v>
      </c>
      <c r="G36" s="5">
        <f t="shared" si="0"/>
        <v>147343800</v>
      </c>
    </row>
    <row r="37" spans="2:7" ht="18.75" customHeight="1">
      <c r="B37" s="1">
        <v>31</v>
      </c>
      <c r="C37" s="2">
        <v>46211</v>
      </c>
      <c r="D37" s="10" t="s">
        <v>360</v>
      </c>
      <c r="E37" s="4"/>
      <c r="F37" s="34">
        <v>1500000</v>
      </c>
      <c r="G37" s="5">
        <f t="shared" si="0"/>
        <v>145843800</v>
      </c>
    </row>
    <row r="38" spans="2:7" ht="18.75" customHeight="1">
      <c r="B38" s="1">
        <v>32</v>
      </c>
      <c r="C38" s="2">
        <v>46212</v>
      </c>
      <c r="D38" s="10" t="s">
        <v>374</v>
      </c>
      <c r="E38" s="4"/>
      <c r="F38" s="33">
        <v>1467000</v>
      </c>
      <c r="G38" s="5">
        <f t="shared" si="0"/>
        <v>144376800</v>
      </c>
    </row>
    <row r="39" spans="2:7" ht="18.75" customHeight="1">
      <c r="B39" s="1">
        <v>33</v>
      </c>
      <c r="C39" s="2">
        <v>46213</v>
      </c>
      <c r="D39" s="10" t="s">
        <v>413</v>
      </c>
      <c r="E39" s="4"/>
      <c r="F39" s="33">
        <v>6562500</v>
      </c>
      <c r="G39" s="5">
        <f t="shared" si="0"/>
        <v>137814300</v>
      </c>
    </row>
    <row r="40" spans="2:7" ht="18.75" customHeight="1">
      <c r="B40" s="1">
        <v>34</v>
      </c>
      <c r="C40" s="2">
        <v>46214</v>
      </c>
      <c r="D40" s="10" t="s">
        <v>365</v>
      </c>
      <c r="E40" s="4"/>
      <c r="F40" s="34">
        <v>10000000</v>
      </c>
      <c r="G40" s="5">
        <f t="shared" si="0"/>
        <v>127814300</v>
      </c>
    </row>
    <row r="41" spans="2:7" ht="18.75" customHeight="1">
      <c r="B41" s="1">
        <v>35</v>
      </c>
      <c r="C41" s="2">
        <v>46216</v>
      </c>
      <c r="D41" s="10" t="s">
        <v>374</v>
      </c>
      <c r="E41" s="4"/>
      <c r="F41" s="33">
        <v>3108000</v>
      </c>
      <c r="G41" s="5">
        <f t="shared" si="0"/>
        <v>124706300</v>
      </c>
    </row>
    <row r="42" spans="2:7" ht="18.75" customHeight="1">
      <c r="B42" s="1">
        <v>36</v>
      </c>
      <c r="C42" s="2">
        <v>46216</v>
      </c>
      <c r="D42" s="10" t="s">
        <v>414</v>
      </c>
      <c r="E42" s="4"/>
      <c r="F42" s="33">
        <v>7450000</v>
      </c>
      <c r="G42" s="5">
        <f t="shared" si="0"/>
        <v>117256300</v>
      </c>
    </row>
    <row r="43" spans="2:7" ht="18.75" customHeight="1">
      <c r="B43" s="1">
        <v>37</v>
      </c>
      <c r="C43" s="2">
        <v>46216</v>
      </c>
      <c r="D43" s="10" t="s">
        <v>415</v>
      </c>
      <c r="E43" s="4"/>
      <c r="F43" s="33">
        <v>1445000</v>
      </c>
      <c r="G43" s="5">
        <f t="shared" si="0"/>
        <v>115811300</v>
      </c>
    </row>
    <row r="44" spans="2:7" ht="18.75" customHeight="1">
      <c r="B44" s="1">
        <v>38</v>
      </c>
      <c r="C44" s="2">
        <v>46216</v>
      </c>
      <c r="D44" s="10" t="s">
        <v>416</v>
      </c>
      <c r="E44" s="4"/>
      <c r="F44" s="33">
        <v>8750000</v>
      </c>
      <c r="G44" s="5">
        <f t="shared" si="0"/>
        <v>107061300</v>
      </c>
    </row>
    <row r="45" spans="2:7" ht="18.75" customHeight="1">
      <c r="B45" s="1">
        <v>39</v>
      </c>
      <c r="C45" s="2">
        <v>46217</v>
      </c>
      <c r="D45" s="10" t="s">
        <v>374</v>
      </c>
      <c r="E45" s="4"/>
      <c r="F45" s="33">
        <v>530000</v>
      </c>
      <c r="G45" s="5">
        <f t="shared" si="0"/>
        <v>106531300</v>
      </c>
    </row>
    <row r="46" spans="2:7" ht="18.75" customHeight="1">
      <c r="B46" s="1">
        <v>40</v>
      </c>
      <c r="C46" s="2">
        <v>46217</v>
      </c>
      <c r="D46" s="10" t="s">
        <v>417</v>
      </c>
      <c r="E46" s="4"/>
      <c r="F46" s="33">
        <v>5774000</v>
      </c>
      <c r="G46" s="5">
        <f t="shared" si="0"/>
        <v>100757300</v>
      </c>
    </row>
    <row r="47" spans="2:7" ht="18.75" customHeight="1">
      <c r="B47" s="1">
        <v>41</v>
      </c>
      <c r="C47" s="2">
        <v>46217</v>
      </c>
      <c r="D47" s="10" t="s">
        <v>418</v>
      </c>
      <c r="E47" s="4"/>
      <c r="F47" s="33">
        <v>343700</v>
      </c>
      <c r="G47" s="5">
        <f t="shared" si="0"/>
        <v>100413600</v>
      </c>
    </row>
    <row r="48" spans="2:7" ht="18.75" customHeight="1">
      <c r="B48" s="1">
        <v>42</v>
      </c>
      <c r="C48" s="2">
        <v>46217</v>
      </c>
      <c r="D48" s="10" t="s">
        <v>419</v>
      </c>
      <c r="E48" s="4"/>
      <c r="F48" s="33">
        <v>1164000</v>
      </c>
      <c r="G48" s="5">
        <f t="shared" si="0"/>
        <v>99249600</v>
      </c>
    </row>
    <row r="49" spans="2:7" ht="18.75" customHeight="1">
      <c r="B49" s="1">
        <v>43</v>
      </c>
      <c r="C49" s="2">
        <v>46217</v>
      </c>
      <c r="D49" s="10" t="s">
        <v>420</v>
      </c>
      <c r="E49" s="4"/>
      <c r="F49" s="33">
        <v>6919735</v>
      </c>
      <c r="G49" s="5">
        <f t="shared" si="0"/>
        <v>92329865</v>
      </c>
    </row>
    <row r="50" spans="2:7" ht="18.75" customHeight="1">
      <c r="B50" s="1">
        <v>44</v>
      </c>
      <c r="C50" s="2">
        <v>46217</v>
      </c>
      <c r="D50" s="10" t="s">
        <v>421</v>
      </c>
      <c r="E50" s="4"/>
      <c r="F50" s="33">
        <v>6547125</v>
      </c>
      <c r="G50" s="5">
        <f t="shared" si="0"/>
        <v>85782740</v>
      </c>
    </row>
    <row r="51" spans="2:7" ht="18.75" customHeight="1">
      <c r="B51" s="1">
        <v>45</v>
      </c>
      <c r="C51" s="2">
        <v>46218</v>
      </c>
      <c r="D51" s="10" t="s">
        <v>422</v>
      </c>
      <c r="E51" s="4"/>
      <c r="F51" s="38">
        <v>175000</v>
      </c>
      <c r="G51" s="5">
        <f t="shared" si="0"/>
        <v>85607740</v>
      </c>
    </row>
    <row r="52" spans="2:7" ht="18.75" customHeight="1">
      <c r="B52" s="1">
        <v>46</v>
      </c>
      <c r="C52" s="2">
        <v>46218</v>
      </c>
      <c r="D52" s="10" t="s">
        <v>423</v>
      </c>
      <c r="E52" s="4"/>
      <c r="F52" s="33">
        <v>140000</v>
      </c>
      <c r="G52" s="5">
        <f t="shared" si="0"/>
        <v>85467740</v>
      </c>
    </row>
    <row r="53" spans="2:7" ht="18.75" customHeight="1">
      <c r="B53" s="1">
        <v>47</v>
      </c>
      <c r="C53" s="2">
        <v>46219</v>
      </c>
      <c r="D53" s="10" t="s">
        <v>423</v>
      </c>
      <c r="E53" s="4"/>
      <c r="F53" s="33">
        <v>131000</v>
      </c>
      <c r="G53" s="5">
        <f t="shared" si="0"/>
        <v>85336740</v>
      </c>
    </row>
    <row r="54" spans="2:7" ht="18.75" customHeight="1">
      <c r="B54" s="1">
        <v>48</v>
      </c>
      <c r="C54" s="2">
        <v>46219</v>
      </c>
      <c r="D54" s="10" t="s">
        <v>424</v>
      </c>
      <c r="E54" s="4"/>
      <c r="F54" s="33">
        <v>705000</v>
      </c>
      <c r="G54" s="5">
        <f t="shared" si="0"/>
        <v>84631740</v>
      </c>
    </row>
    <row r="55" spans="2:7" ht="18.75" customHeight="1">
      <c r="B55" s="1">
        <v>49</v>
      </c>
      <c r="C55" s="2">
        <v>46220</v>
      </c>
      <c r="D55" s="10" t="s">
        <v>423</v>
      </c>
      <c r="E55" s="4"/>
      <c r="F55" s="33">
        <v>697000</v>
      </c>
      <c r="G55" s="5">
        <f t="shared" si="0"/>
        <v>83934740</v>
      </c>
    </row>
    <row r="56" spans="2:7" ht="18.75" customHeight="1">
      <c r="B56" s="1">
        <v>50</v>
      </c>
      <c r="C56" s="2">
        <v>46221</v>
      </c>
      <c r="D56" s="10" t="s">
        <v>425</v>
      </c>
      <c r="E56" s="4"/>
      <c r="F56" s="38">
        <v>200000</v>
      </c>
      <c r="G56" s="5">
        <f t="shared" si="0"/>
        <v>83734740</v>
      </c>
    </row>
    <row r="57" spans="2:7" ht="18.75" customHeight="1">
      <c r="B57" s="1">
        <v>51</v>
      </c>
      <c r="C57" s="2">
        <v>46221</v>
      </c>
      <c r="D57" s="10" t="s">
        <v>426</v>
      </c>
      <c r="E57" s="4"/>
      <c r="F57" s="33">
        <v>1750000</v>
      </c>
      <c r="G57" s="5">
        <f t="shared" si="0"/>
        <v>81984740</v>
      </c>
    </row>
    <row r="58" spans="2:7" ht="18.75" customHeight="1">
      <c r="B58" s="1">
        <v>52</v>
      </c>
      <c r="C58" s="2">
        <v>46221</v>
      </c>
      <c r="D58" s="10" t="s">
        <v>365</v>
      </c>
      <c r="E58" s="4"/>
      <c r="F58" s="34">
        <v>15000000</v>
      </c>
      <c r="G58" s="5">
        <f t="shared" si="0"/>
        <v>66984740</v>
      </c>
    </row>
    <row r="59" spans="2:7" ht="18.75" customHeight="1">
      <c r="B59" s="1">
        <v>53</v>
      </c>
      <c r="C59" s="2">
        <v>46221</v>
      </c>
      <c r="D59" s="10" t="s">
        <v>427</v>
      </c>
      <c r="E59" s="4"/>
      <c r="F59" s="38">
        <v>150000</v>
      </c>
      <c r="G59" s="5">
        <f t="shared" si="0"/>
        <v>66834740</v>
      </c>
    </row>
    <row r="60" spans="2:7" ht="18.75" customHeight="1">
      <c r="B60" s="1">
        <v>54</v>
      </c>
      <c r="C60" s="2">
        <v>46222</v>
      </c>
      <c r="D60" s="10" t="s">
        <v>428</v>
      </c>
      <c r="E60" s="4"/>
      <c r="F60" s="33">
        <v>4175000</v>
      </c>
      <c r="G60" s="5">
        <f t="shared" si="0"/>
        <v>62659740</v>
      </c>
    </row>
    <row r="61" spans="2:7" ht="18.75" customHeight="1">
      <c r="B61" s="1">
        <v>55</v>
      </c>
      <c r="C61" s="2">
        <v>46223</v>
      </c>
      <c r="D61" s="10" t="s">
        <v>429</v>
      </c>
      <c r="E61" s="4"/>
      <c r="F61" s="33">
        <v>245000</v>
      </c>
      <c r="G61" s="5">
        <f t="shared" si="0"/>
        <v>62414740</v>
      </c>
    </row>
    <row r="62" spans="2:7" ht="18.75" customHeight="1">
      <c r="B62" s="1">
        <v>56</v>
      </c>
      <c r="C62" s="2">
        <v>46223</v>
      </c>
      <c r="D62" s="10" t="s">
        <v>423</v>
      </c>
      <c r="E62" s="4"/>
      <c r="F62" s="33">
        <v>90000</v>
      </c>
      <c r="G62" s="5">
        <f t="shared" si="0"/>
        <v>62324740</v>
      </c>
    </row>
    <row r="63" spans="2:7" ht="18.75" customHeight="1">
      <c r="B63" s="1">
        <v>57</v>
      </c>
      <c r="C63" s="2">
        <v>46223</v>
      </c>
      <c r="D63" s="10" t="s">
        <v>430</v>
      </c>
      <c r="E63" s="4"/>
      <c r="F63" s="33">
        <v>3500000</v>
      </c>
      <c r="G63" s="5">
        <f t="shared" si="0"/>
        <v>58824740</v>
      </c>
    </row>
    <row r="64" spans="2:7" ht="18.75" customHeight="1">
      <c r="B64" s="1">
        <v>58</v>
      </c>
      <c r="C64" s="2">
        <v>46224</v>
      </c>
      <c r="D64" s="10" t="s">
        <v>423</v>
      </c>
      <c r="E64" s="4"/>
      <c r="F64" s="33">
        <v>175000</v>
      </c>
      <c r="G64" s="5">
        <f>G63-F64</f>
        <v>58649740</v>
      </c>
    </row>
    <row r="65" spans="2:7" ht="18.75" customHeight="1">
      <c r="B65" s="1">
        <v>59</v>
      </c>
      <c r="C65" s="2">
        <v>46225</v>
      </c>
      <c r="D65" s="10" t="s">
        <v>423</v>
      </c>
      <c r="E65" s="4"/>
      <c r="F65" s="33">
        <v>260000</v>
      </c>
      <c r="G65" s="5">
        <f>G64-F65</f>
        <v>58389740</v>
      </c>
    </row>
    <row r="66" spans="2:7" ht="18.75" customHeight="1">
      <c r="B66" s="1">
        <v>60</v>
      </c>
      <c r="C66" s="2">
        <v>46225</v>
      </c>
      <c r="D66" s="10" t="s">
        <v>431</v>
      </c>
      <c r="E66" s="4"/>
      <c r="F66" s="33">
        <v>9040000</v>
      </c>
      <c r="G66" s="5">
        <f>G65-F66</f>
        <v>49349740</v>
      </c>
    </row>
    <row r="67" spans="2:7" ht="18.75" customHeight="1">
      <c r="B67" s="1">
        <v>61</v>
      </c>
      <c r="C67" s="2">
        <v>46225</v>
      </c>
      <c r="D67" s="10" t="s">
        <v>432</v>
      </c>
      <c r="E67" s="4"/>
      <c r="F67" s="33">
        <v>2000000</v>
      </c>
      <c r="G67" s="5">
        <f>G66-F67</f>
        <v>47349740</v>
      </c>
    </row>
    <row r="68" spans="2:7" ht="18.75" customHeight="1">
      <c r="B68" s="1">
        <v>62</v>
      </c>
      <c r="C68" s="2">
        <v>46226</v>
      </c>
      <c r="D68" s="10" t="s">
        <v>374</v>
      </c>
      <c r="E68" s="4"/>
      <c r="F68" s="33">
        <v>359500</v>
      </c>
      <c r="G68" s="5">
        <f t="shared" ref="G68:G106" si="1">G67-F68</f>
        <v>46990240</v>
      </c>
    </row>
    <row r="69" spans="2:7" ht="18.75" customHeight="1">
      <c r="B69" s="1">
        <v>63</v>
      </c>
      <c r="C69" s="2">
        <v>46227</v>
      </c>
      <c r="D69" s="10" t="s">
        <v>433</v>
      </c>
      <c r="E69" s="4"/>
      <c r="F69" s="33">
        <v>1164500</v>
      </c>
      <c r="G69" s="5">
        <f t="shared" si="1"/>
        <v>45825740</v>
      </c>
    </row>
    <row r="70" spans="2:7" ht="18.75" customHeight="1">
      <c r="B70" s="1">
        <v>64</v>
      </c>
      <c r="C70" s="2">
        <v>46227</v>
      </c>
      <c r="D70" s="10" t="s">
        <v>374</v>
      </c>
      <c r="E70" s="4"/>
      <c r="F70" s="33">
        <v>1932000</v>
      </c>
      <c r="G70" s="5">
        <f t="shared" si="1"/>
        <v>43893740</v>
      </c>
    </row>
    <row r="71" spans="2:7" ht="18.75" customHeight="1">
      <c r="B71" s="1">
        <v>65</v>
      </c>
      <c r="C71" s="2">
        <v>46227</v>
      </c>
      <c r="D71" s="10" t="s">
        <v>428</v>
      </c>
      <c r="E71" s="4"/>
      <c r="F71" s="33">
        <v>547200</v>
      </c>
      <c r="G71" s="5">
        <f t="shared" si="1"/>
        <v>43346540</v>
      </c>
    </row>
    <row r="72" spans="2:7" ht="18.75" customHeight="1">
      <c r="B72" s="1">
        <v>66</v>
      </c>
      <c r="C72" s="2">
        <v>46227</v>
      </c>
      <c r="D72" s="10" t="s">
        <v>434</v>
      </c>
      <c r="E72" s="4"/>
      <c r="F72" s="33">
        <v>150000</v>
      </c>
      <c r="G72" s="5">
        <f t="shared" si="1"/>
        <v>43196540</v>
      </c>
    </row>
    <row r="73" spans="2:7" ht="18.75" customHeight="1">
      <c r="B73" s="1">
        <v>67</v>
      </c>
      <c r="C73" s="2">
        <v>46227</v>
      </c>
      <c r="D73" s="10" t="s">
        <v>434</v>
      </c>
      <c r="E73" s="4"/>
      <c r="F73" s="33">
        <v>47000</v>
      </c>
      <c r="G73" s="5">
        <f t="shared" si="1"/>
        <v>43149540</v>
      </c>
    </row>
    <row r="74" spans="2:7" ht="18.75" customHeight="1">
      <c r="B74" s="1">
        <v>68</v>
      </c>
      <c r="C74" s="2">
        <v>46227</v>
      </c>
      <c r="D74" s="10" t="s">
        <v>435</v>
      </c>
      <c r="E74" s="4"/>
      <c r="F74" s="33">
        <v>2230000</v>
      </c>
      <c r="G74" s="5">
        <f t="shared" si="1"/>
        <v>40919540</v>
      </c>
    </row>
    <row r="75" spans="2:7" ht="18.75" customHeight="1">
      <c r="B75" s="1">
        <v>69</v>
      </c>
      <c r="C75" s="2">
        <v>46227</v>
      </c>
      <c r="D75" s="10" t="s">
        <v>369</v>
      </c>
      <c r="E75" s="4"/>
      <c r="F75" s="38">
        <v>140000</v>
      </c>
      <c r="G75" s="5">
        <f t="shared" si="1"/>
        <v>40779540</v>
      </c>
    </row>
    <row r="76" spans="2:7" ht="18.75" customHeight="1">
      <c r="B76" s="1">
        <v>70</v>
      </c>
      <c r="C76" s="2">
        <v>46228</v>
      </c>
      <c r="D76" s="10" t="s">
        <v>436</v>
      </c>
      <c r="E76" s="4"/>
      <c r="F76" s="33">
        <v>582000</v>
      </c>
      <c r="G76" s="5">
        <f t="shared" si="1"/>
        <v>40197540</v>
      </c>
    </row>
    <row r="77" spans="2:7" ht="18.75" customHeight="1">
      <c r="B77" s="1">
        <v>71</v>
      </c>
      <c r="C77" s="2">
        <v>46228</v>
      </c>
      <c r="D77" s="10" t="s">
        <v>434</v>
      </c>
      <c r="E77" s="4"/>
      <c r="F77" s="33">
        <v>169000</v>
      </c>
      <c r="G77" s="5">
        <f t="shared" si="1"/>
        <v>40028540</v>
      </c>
    </row>
    <row r="78" spans="2:7" ht="18.75" customHeight="1">
      <c r="B78" s="1">
        <v>72</v>
      </c>
      <c r="C78" s="2">
        <v>46228</v>
      </c>
      <c r="D78" s="10" t="s">
        <v>437</v>
      </c>
      <c r="E78" s="4"/>
      <c r="F78" s="34">
        <v>4000000</v>
      </c>
      <c r="G78" s="5">
        <f t="shared" si="1"/>
        <v>36028540</v>
      </c>
    </row>
    <row r="79" spans="2:7" ht="18.75" customHeight="1">
      <c r="B79" s="1">
        <v>73</v>
      </c>
      <c r="C79" s="2">
        <v>46228</v>
      </c>
      <c r="D79" s="10" t="s">
        <v>365</v>
      </c>
      <c r="E79" s="4"/>
      <c r="F79" s="34">
        <v>11077500</v>
      </c>
      <c r="G79" s="5">
        <f t="shared" si="1"/>
        <v>24951040</v>
      </c>
    </row>
    <row r="80" spans="2:7" ht="18.75" customHeight="1">
      <c r="B80" s="1">
        <v>74</v>
      </c>
      <c r="C80" s="2">
        <v>46230</v>
      </c>
      <c r="D80" s="10" t="s">
        <v>438</v>
      </c>
      <c r="E80" s="4"/>
      <c r="F80" s="33">
        <v>1898750</v>
      </c>
      <c r="G80" s="5">
        <f t="shared" si="1"/>
        <v>23052290</v>
      </c>
    </row>
    <row r="81" spans="2:7" ht="18.75" customHeight="1">
      <c r="B81" s="1">
        <v>75</v>
      </c>
      <c r="C81" s="2">
        <v>46230</v>
      </c>
      <c r="D81" s="10" t="s">
        <v>360</v>
      </c>
      <c r="E81" s="4"/>
      <c r="F81" s="34">
        <v>2002500</v>
      </c>
      <c r="G81" s="5">
        <f t="shared" si="1"/>
        <v>21049790</v>
      </c>
    </row>
    <row r="82" spans="2:7" ht="18.75" customHeight="1">
      <c r="B82" s="1">
        <v>76</v>
      </c>
      <c r="C82" s="2">
        <v>46230</v>
      </c>
      <c r="D82" s="10" t="s">
        <v>439</v>
      </c>
      <c r="E82" s="4"/>
      <c r="F82" s="33">
        <v>364150</v>
      </c>
      <c r="G82" s="5">
        <f t="shared" si="1"/>
        <v>20685640</v>
      </c>
    </row>
    <row r="83" spans="2:7" ht="18.75" customHeight="1">
      <c r="B83" s="1">
        <v>77</v>
      </c>
      <c r="C83" s="2">
        <v>46230</v>
      </c>
      <c r="D83" s="10" t="s">
        <v>398</v>
      </c>
      <c r="E83" s="4"/>
      <c r="F83" s="33">
        <v>700000</v>
      </c>
      <c r="G83" s="5">
        <f t="shared" si="1"/>
        <v>19985640</v>
      </c>
    </row>
    <row r="84" spans="2:7" ht="18.75" customHeight="1">
      <c r="B84" s="1">
        <v>78</v>
      </c>
      <c r="C84" s="2">
        <v>46231</v>
      </c>
      <c r="D84" s="10" t="s">
        <v>440</v>
      </c>
      <c r="E84" s="4"/>
      <c r="F84" s="33">
        <v>14835000</v>
      </c>
      <c r="G84" s="5">
        <f t="shared" si="1"/>
        <v>5150640</v>
      </c>
    </row>
    <row r="85" spans="2:7" ht="18.75" customHeight="1">
      <c r="B85" s="1">
        <v>79</v>
      </c>
      <c r="C85" s="2">
        <v>46231</v>
      </c>
      <c r="D85" s="10" t="s">
        <v>441</v>
      </c>
      <c r="E85" s="4"/>
      <c r="F85" s="33">
        <v>1132500</v>
      </c>
      <c r="G85" s="5">
        <f t="shared" si="1"/>
        <v>4018140</v>
      </c>
    </row>
    <row r="86" spans="2:7" ht="18.75" customHeight="1">
      <c r="B86" s="1">
        <v>80</v>
      </c>
      <c r="C86" s="2">
        <v>46231</v>
      </c>
      <c r="D86" s="10" t="s">
        <v>442</v>
      </c>
      <c r="E86" s="4"/>
      <c r="F86" s="33">
        <v>2500000</v>
      </c>
      <c r="G86" s="5">
        <f t="shared" si="1"/>
        <v>1518140</v>
      </c>
    </row>
    <row r="87" spans="2:7" ht="18.75" customHeight="1">
      <c r="B87" s="1">
        <v>81</v>
      </c>
      <c r="C87" s="2">
        <v>46232</v>
      </c>
      <c r="D87" s="10" t="s">
        <v>443</v>
      </c>
      <c r="E87" s="4"/>
      <c r="F87" s="33">
        <v>1155000</v>
      </c>
      <c r="G87" s="5">
        <f t="shared" si="1"/>
        <v>363140</v>
      </c>
    </row>
    <row r="88" spans="2:7" ht="18.75" customHeight="1">
      <c r="B88" s="1">
        <v>82</v>
      </c>
      <c r="C88" s="2">
        <v>46232</v>
      </c>
      <c r="D88" s="10" t="s">
        <v>443</v>
      </c>
      <c r="E88" s="4"/>
      <c r="F88" s="33">
        <v>2724000</v>
      </c>
      <c r="G88" s="5">
        <f t="shared" si="1"/>
        <v>-2360860</v>
      </c>
    </row>
    <row r="89" spans="2:7" ht="18.75" customHeight="1">
      <c r="B89" s="1">
        <v>83</v>
      </c>
      <c r="C89" s="2">
        <v>46232</v>
      </c>
      <c r="D89" s="10" t="s">
        <v>444</v>
      </c>
      <c r="E89" s="4"/>
      <c r="F89" s="33">
        <v>998500</v>
      </c>
      <c r="G89" s="5">
        <f t="shared" si="1"/>
        <v>-3359360</v>
      </c>
    </row>
    <row r="90" spans="2:7" ht="18.75" customHeight="1">
      <c r="B90" s="1">
        <v>84</v>
      </c>
      <c r="C90" s="2">
        <v>46233</v>
      </c>
      <c r="D90" s="10" t="s">
        <v>445</v>
      </c>
      <c r="E90" s="4"/>
      <c r="F90" s="33">
        <v>59300</v>
      </c>
      <c r="G90" s="5">
        <f t="shared" si="1"/>
        <v>-3418660</v>
      </c>
    </row>
    <row r="91" spans="2:7" ht="18.75" customHeight="1">
      <c r="B91" s="1">
        <v>85</v>
      </c>
      <c r="C91" s="2">
        <v>46233</v>
      </c>
      <c r="D91" s="10" t="s">
        <v>446</v>
      </c>
      <c r="E91" s="4"/>
      <c r="F91" s="38">
        <v>60000</v>
      </c>
      <c r="G91" s="5">
        <f t="shared" si="1"/>
        <v>-3478660</v>
      </c>
    </row>
    <row r="92" spans="2:7" ht="18.75" customHeight="1">
      <c r="B92" s="1">
        <v>86</v>
      </c>
      <c r="C92" s="2">
        <v>46234</v>
      </c>
      <c r="D92" s="10" t="s">
        <v>447</v>
      </c>
      <c r="E92" s="4"/>
      <c r="F92" s="33">
        <v>325263</v>
      </c>
      <c r="G92" s="5">
        <f t="shared" si="1"/>
        <v>-3803923</v>
      </c>
    </row>
    <row r="93" spans="2:7" ht="18.75" customHeight="1">
      <c r="B93" s="1">
        <v>87</v>
      </c>
      <c r="C93" s="2">
        <v>46234</v>
      </c>
      <c r="D93" s="10" t="s">
        <v>448</v>
      </c>
      <c r="E93" s="4"/>
      <c r="F93" s="33">
        <v>1652000</v>
      </c>
      <c r="G93" s="5">
        <f t="shared" si="1"/>
        <v>-5455923</v>
      </c>
    </row>
    <row r="94" spans="2:7" ht="18.75" customHeight="1">
      <c r="B94" s="1">
        <v>88</v>
      </c>
      <c r="C94" s="2">
        <v>46234</v>
      </c>
      <c r="D94" s="10" t="s">
        <v>449</v>
      </c>
      <c r="E94" s="4"/>
      <c r="F94" s="33">
        <v>1005250</v>
      </c>
      <c r="G94" s="5">
        <f t="shared" si="1"/>
        <v>-6461173</v>
      </c>
    </row>
    <row r="95" spans="2:7" ht="18.75" customHeight="1">
      <c r="B95" s="1">
        <v>89</v>
      </c>
      <c r="C95" s="2">
        <v>46235</v>
      </c>
      <c r="D95" s="10" t="s">
        <v>434</v>
      </c>
      <c r="E95" s="4"/>
      <c r="F95" s="33">
        <v>207000</v>
      </c>
      <c r="G95" s="5">
        <f t="shared" si="1"/>
        <v>-6668173</v>
      </c>
    </row>
    <row r="96" spans="2:7" ht="18.75" customHeight="1">
      <c r="B96" s="1">
        <v>90</v>
      </c>
      <c r="C96" s="2">
        <v>46235</v>
      </c>
      <c r="D96" s="10" t="s">
        <v>437</v>
      </c>
      <c r="E96" s="4"/>
      <c r="F96" s="34">
        <v>6000000</v>
      </c>
      <c r="G96" s="5">
        <f t="shared" si="1"/>
        <v>-12668173</v>
      </c>
    </row>
    <row r="97" spans="2:7" ht="18.75" customHeight="1">
      <c r="B97" s="1">
        <v>91</v>
      </c>
      <c r="C97" s="2">
        <v>46235</v>
      </c>
      <c r="D97" s="10" t="s">
        <v>365</v>
      </c>
      <c r="E97" s="4"/>
      <c r="F97" s="34">
        <v>8502500</v>
      </c>
      <c r="G97" s="5">
        <f t="shared" si="1"/>
        <v>-21170673</v>
      </c>
    </row>
    <row r="98" spans="2:7" ht="18.75" customHeight="1">
      <c r="B98" s="1">
        <v>92</v>
      </c>
      <c r="C98" s="2">
        <v>46236</v>
      </c>
      <c r="D98" s="10" t="s">
        <v>415</v>
      </c>
      <c r="E98" s="4"/>
      <c r="F98" s="33">
        <v>650000</v>
      </c>
      <c r="G98" s="5">
        <f t="shared" si="1"/>
        <v>-21820673</v>
      </c>
    </row>
    <row r="99" spans="2:7" ht="18.75" customHeight="1">
      <c r="B99" s="1">
        <v>93</v>
      </c>
      <c r="C99" s="2">
        <v>46237</v>
      </c>
      <c r="D99" s="10" t="s">
        <v>450</v>
      </c>
      <c r="E99" s="4"/>
      <c r="F99" s="33">
        <v>873525</v>
      </c>
      <c r="G99" s="5">
        <f t="shared" si="1"/>
        <v>-22694198</v>
      </c>
    </row>
    <row r="100" spans="2:7" ht="18.75" customHeight="1">
      <c r="B100" s="1">
        <v>94</v>
      </c>
      <c r="C100" s="2">
        <v>46237</v>
      </c>
      <c r="D100" s="10" t="s">
        <v>436</v>
      </c>
      <c r="E100" s="4"/>
      <c r="F100" s="33">
        <v>435000</v>
      </c>
      <c r="G100" s="5">
        <f t="shared" si="1"/>
        <v>-23129198</v>
      </c>
    </row>
    <row r="101" spans="2:7" ht="18.75" customHeight="1">
      <c r="B101" s="1">
        <v>95</v>
      </c>
      <c r="C101" s="2">
        <v>46237</v>
      </c>
      <c r="D101" s="10" t="s">
        <v>451</v>
      </c>
      <c r="E101" s="4"/>
      <c r="F101" s="33">
        <v>890000</v>
      </c>
      <c r="G101" s="5">
        <f t="shared" si="1"/>
        <v>-24019198</v>
      </c>
    </row>
    <row r="102" spans="2:7" ht="18.75" customHeight="1">
      <c r="B102" s="1">
        <v>96</v>
      </c>
      <c r="C102" s="2">
        <v>46237</v>
      </c>
      <c r="D102" s="10" t="s">
        <v>427</v>
      </c>
      <c r="E102" s="4"/>
      <c r="F102" s="38">
        <v>25000</v>
      </c>
      <c r="G102" s="5">
        <f t="shared" si="1"/>
        <v>-24044198</v>
      </c>
    </row>
    <row r="103" spans="2:7" ht="18.75" customHeight="1">
      <c r="B103" s="1">
        <v>97</v>
      </c>
      <c r="C103" s="2">
        <v>46237</v>
      </c>
      <c r="D103" s="10" t="s">
        <v>452</v>
      </c>
      <c r="E103" s="4"/>
      <c r="F103" s="38">
        <v>135000</v>
      </c>
      <c r="G103" s="5">
        <f t="shared" si="1"/>
        <v>-24179198</v>
      </c>
    </row>
    <row r="104" spans="2:7" ht="18.75" customHeight="1">
      <c r="B104" s="1">
        <v>98</v>
      </c>
      <c r="C104" s="2">
        <v>46237</v>
      </c>
      <c r="D104" s="10" t="s">
        <v>453</v>
      </c>
      <c r="E104" s="4"/>
      <c r="F104" s="33">
        <v>2500000</v>
      </c>
      <c r="G104" s="5">
        <f t="shared" si="1"/>
        <v>-26679198</v>
      </c>
    </row>
    <row r="105" spans="2:7" ht="18.75" customHeight="1">
      <c r="B105" s="1">
        <v>99</v>
      </c>
      <c r="C105" s="2">
        <v>46237</v>
      </c>
      <c r="D105" s="10" t="s">
        <v>454</v>
      </c>
      <c r="E105" s="4"/>
      <c r="F105" s="33">
        <v>230000</v>
      </c>
      <c r="G105" s="5">
        <f t="shared" si="1"/>
        <v>-26909198</v>
      </c>
    </row>
    <row r="106" spans="2:7" ht="18.75" customHeight="1">
      <c r="B106" s="1">
        <v>100</v>
      </c>
      <c r="C106" s="2">
        <v>46238</v>
      </c>
      <c r="D106" s="10" t="s">
        <v>454</v>
      </c>
      <c r="E106" s="4"/>
      <c r="F106" s="33">
        <v>550000</v>
      </c>
      <c r="G106" s="5">
        <f t="shared" si="1"/>
        <v>-27459198</v>
      </c>
    </row>
    <row r="107" spans="2:7" ht="18.75" customHeight="1">
      <c r="B107" s="1">
        <v>101</v>
      </c>
      <c r="C107" s="2">
        <v>46238</v>
      </c>
      <c r="D107" s="10" t="s">
        <v>394</v>
      </c>
      <c r="E107" s="4">
        <v>77000000</v>
      </c>
      <c r="F107" s="4"/>
      <c r="G107" s="5">
        <f>G106+E107</f>
        <v>49540802</v>
      </c>
    </row>
    <row r="108" spans="2:7" ht="18.75" customHeight="1">
      <c r="B108" s="1">
        <v>102</v>
      </c>
      <c r="C108" s="2">
        <v>46238</v>
      </c>
      <c r="D108" s="10" t="s">
        <v>398</v>
      </c>
      <c r="E108" s="4"/>
      <c r="F108" s="33">
        <v>500000</v>
      </c>
      <c r="G108" s="5">
        <f>G107-F108</f>
        <v>49040802</v>
      </c>
    </row>
    <row r="109" spans="2:7" ht="18.75" customHeight="1">
      <c r="B109" s="1">
        <v>103</v>
      </c>
      <c r="C109" s="2">
        <v>46238</v>
      </c>
      <c r="D109" s="10" t="s">
        <v>455</v>
      </c>
      <c r="E109" s="4"/>
      <c r="F109" s="38">
        <v>45000</v>
      </c>
      <c r="G109" s="5">
        <f>G108-F109</f>
        <v>48995802</v>
      </c>
    </row>
    <row r="110" spans="2:7" ht="18.75" customHeight="1">
      <c r="B110" s="1">
        <v>104</v>
      </c>
      <c r="C110" s="2">
        <v>46238</v>
      </c>
      <c r="D110" s="10" t="s">
        <v>456</v>
      </c>
      <c r="E110" s="4"/>
      <c r="F110" s="33">
        <v>493600</v>
      </c>
      <c r="G110" s="5">
        <f t="shared" ref="G110:G174" si="2">G109-F110</f>
        <v>48502202</v>
      </c>
    </row>
    <row r="111" spans="2:7" ht="18.75" customHeight="1">
      <c r="B111" s="1">
        <v>105</v>
      </c>
      <c r="C111" s="2">
        <v>46238</v>
      </c>
      <c r="D111" s="10" t="s">
        <v>457</v>
      </c>
      <c r="E111" s="4"/>
      <c r="F111" s="33">
        <v>274000</v>
      </c>
      <c r="G111" s="5">
        <f t="shared" si="2"/>
        <v>48228202</v>
      </c>
    </row>
    <row r="112" spans="2:7" ht="18.75" customHeight="1">
      <c r="B112" s="1">
        <v>106</v>
      </c>
      <c r="C112" s="2">
        <v>46238</v>
      </c>
      <c r="D112" s="10" t="s">
        <v>437</v>
      </c>
      <c r="E112" s="4"/>
      <c r="F112" s="34">
        <v>1500000</v>
      </c>
      <c r="G112" s="5">
        <f t="shared" si="2"/>
        <v>46728202</v>
      </c>
    </row>
    <row r="113" spans="2:7" ht="18.75" customHeight="1">
      <c r="B113" s="1">
        <v>107</v>
      </c>
      <c r="C113" s="2">
        <v>46238</v>
      </c>
      <c r="D113" s="10" t="s">
        <v>429</v>
      </c>
      <c r="E113" s="4"/>
      <c r="F113" s="33">
        <v>370000</v>
      </c>
      <c r="G113" s="5">
        <f t="shared" si="2"/>
        <v>46358202</v>
      </c>
    </row>
    <row r="114" spans="2:7" ht="18.75" customHeight="1">
      <c r="B114" s="1">
        <v>108</v>
      </c>
      <c r="C114" s="2">
        <v>46239</v>
      </c>
      <c r="D114" s="10" t="s">
        <v>458</v>
      </c>
      <c r="E114" s="4"/>
      <c r="F114" s="33">
        <v>2700000</v>
      </c>
      <c r="G114" s="5">
        <f t="shared" si="2"/>
        <v>43658202</v>
      </c>
    </row>
    <row r="115" spans="2:7" ht="18.75" customHeight="1">
      <c r="B115" s="1">
        <v>109</v>
      </c>
      <c r="C115" s="2">
        <v>46240</v>
      </c>
      <c r="D115" s="10" t="s">
        <v>374</v>
      </c>
      <c r="E115" s="4"/>
      <c r="F115" s="33">
        <v>1086000</v>
      </c>
      <c r="G115" s="5">
        <f t="shared" si="2"/>
        <v>42572202</v>
      </c>
    </row>
    <row r="116" spans="2:7" ht="18.75" customHeight="1">
      <c r="B116" s="1">
        <v>110</v>
      </c>
      <c r="C116" s="2">
        <v>46240</v>
      </c>
      <c r="D116" s="10" t="s">
        <v>374</v>
      </c>
      <c r="E116" s="4"/>
      <c r="F116" s="33">
        <v>1340000</v>
      </c>
      <c r="G116" s="5">
        <f t="shared" si="2"/>
        <v>41232202</v>
      </c>
    </row>
    <row r="117" spans="2:7" ht="18.75" customHeight="1">
      <c r="B117" s="1">
        <v>111</v>
      </c>
      <c r="C117" s="2">
        <v>46240</v>
      </c>
      <c r="D117" s="10" t="s">
        <v>459</v>
      </c>
      <c r="E117" s="4"/>
      <c r="F117" s="33">
        <v>1900000</v>
      </c>
      <c r="G117" s="5">
        <f t="shared" si="2"/>
        <v>39332202</v>
      </c>
    </row>
    <row r="118" spans="2:7" ht="18.75" customHeight="1">
      <c r="B118" s="1">
        <v>112</v>
      </c>
      <c r="C118" s="2">
        <v>46240</v>
      </c>
      <c r="D118" s="10" t="s">
        <v>360</v>
      </c>
      <c r="E118" s="4"/>
      <c r="F118" s="34">
        <v>1002500</v>
      </c>
      <c r="G118" s="5">
        <f t="shared" si="2"/>
        <v>38329702</v>
      </c>
    </row>
    <row r="119" spans="2:7" ht="18.75" customHeight="1">
      <c r="B119" s="1">
        <v>113</v>
      </c>
      <c r="C119" s="2">
        <v>46241</v>
      </c>
      <c r="D119" s="10" t="s">
        <v>374</v>
      </c>
      <c r="E119" s="4"/>
      <c r="F119" s="33">
        <v>195000</v>
      </c>
      <c r="G119" s="5">
        <f t="shared" si="2"/>
        <v>38134702</v>
      </c>
    </row>
    <row r="120" spans="2:7" ht="18.75" customHeight="1">
      <c r="B120" s="1">
        <v>114</v>
      </c>
      <c r="C120" s="2">
        <v>46241</v>
      </c>
      <c r="D120" s="10" t="s">
        <v>460</v>
      </c>
      <c r="E120" s="4"/>
      <c r="F120" s="33">
        <v>1653900</v>
      </c>
      <c r="G120" s="5">
        <f t="shared" si="2"/>
        <v>36480802</v>
      </c>
    </row>
    <row r="121" spans="2:7" ht="18.75" customHeight="1">
      <c r="B121" s="1">
        <v>115</v>
      </c>
      <c r="C121" s="2">
        <v>46241</v>
      </c>
      <c r="D121" s="10" t="s">
        <v>436</v>
      </c>
      <c r="E121" s="4"/>
      <c r="F121" s="33">
        <v>50000</v>
      </c>
      <c r="G121" s="5">
        <f t="shared" si="2"/>
        <v>36430802</v>
      </c>
    </row>
    <row r="122" spans="2:7" ht="18.75" customHeight="1">
      <c r="B122" s="1">
        <v>116</v>
      </c>
      <c r="C122" s="2">
        <v>46241</v>
      </c>
      <c r="D122" s="10" t="s">
        <v>461</v>
      </c>
      <c r="E122" s="4"/>
      <c r="F122" s="38">
        <v>150000</v>
      </c>
      <c r="G122" s="5">
        <f t="shared" si="2"/>
        <v>36280802</v>
      </c>
    </row>
    <row r="123" spans="2:7" ht="18.75" customHeight="1">
      <c r="B123" s="1">
        <v>117</v>
      </c>
      <c r="C123" s="2">
        <v>46241</v>
      </c>
      <c r="D123" s="10" t="s">
        <v>462</v>
      </c>
      <c r="E123" s="4"/>
      <c r="F123" s="33">
        <v>796900</v>
      </c>
      <c r="G123" s="5">
        <f t="shared" si="2"/>
        <v>35483902</v>
      </c>
    </row>
    <row r="124" spans="2:7" ht="18.75" customHeight="1">
      <c r="B124" s="1">
        <v>118</v>
      </c>
      <c r="C124" s="2">
        <v>46242</v>
      </c>
      <c r="D124" s="10" t="s">
        <v>463</v>
      </c>
      <c r="E124" s="4"/>
      <c r="F124" s="33">
        <v>1280000</v>
      </c>
      <c r="G124" s="5">
        <f t="shared" si="2"/>
        <v>34203902</v>
      </c>
    </row>
    <row r="125" spans="2:7" ht="18.75" customHeight="1">
      <c r="B125" s="1">
        <v>119</v>
      </c>
      <c r="C125" s="2">
        <v>46242</v>
      </c>
      <c r="D125" s="10" t="s">
        <v>463</v>
      </c>
      <c r="E125" s="4"/>
      <c r="F125" s="33">
        <v>3911000</v>
      </c>
      <c r="G125" s="5">
        <f t="shared" si="2"/>
        <v>30292902</v>
      </c>
    </row>
    <row r="126" spans="2:7" ht="18.75" customHeight="1">
      <c r="B126" s="1">
        <v>120</v>
      </c>
      <c r="C126" s="2">
        <v>46242</v>
      </c>
      <c r="D126" s="10" t="s">
        <v>437</v>
      </c>
      <c r="E126" s="4"/>
      <c r="F126" s="34">
        <v>10000000</v>
      </c>
      <c r="G126" s="5">
        <f t="shared" si="2"/>
        <v>20292902</v>
      </c>
    </row>
    <row r="127" spans="2:7" ht="18.75" customHeight="1">
      <c r="B127" s="1">
        <v>121</v>
      </c>
      <c r="C127" s="2">
        <v>46242</v>
      </c>
      <c r="D127" s="10" t="s">
        <v>365</v>
      </c>
      <c r="E127" s="4"/>
      <c r="F127" s="34">
        <v>5905000</v>
      </c>
      <c r="G127" s="5">
        <f t="shared" si="2"/>
        <v>14387902</v>
      </c>
    </row>
    <row r="128" spans="2:7" ht="18.75" customHeight="1">
      <c r="B128" s="1">
        <v>122</v>
      </c>
      <c r="C128" s="2">
        <v>46242</v>
      </c>
      <c r="D128" s="10" t="s">
        <v>464</v>
      </c>
      <c r="E128" s="4"/>
      <c r="F128" s="34">
        <v>1847500</v>
      </c>
      <c r="G128" s="5">
        <f t="shared" si="2"/>
        <v>12540402</v>
      </c>
    </row>
    <row r="129" spans="2:7" ht="18.75" customHeight="1">
      <c r="B129" s="1">
        <v>123</v>
      </c>
      <c r="C129" s="2">
        <v>46244</v>
      </c>
      <c r="D129" s="10" t="s">
        <v>465</v>
      </c>
      <c r="E129" s="4"/>
      <c r="F129" s="33">
        <v>760000</v>
      </c>
      <c r="G129" s="5">
        <f t="shared" si="2"/>
        <v>11780402</v>
      </c>
    </row>
    <row r="130" spans="2:7" ht="18.75" customHeight="1">
      <c r="B130" s="1">
        <v>124</v>
      </c>
      <c r="C130" s="2">
        <v>46244</v>
      </c>
      <c r="D130" s="10" t="s">
        <v>422</v>
      </c>
      <c r="E130" s="4"/>
      <c r="F130" s="38">
        <v>180000</v>
      </c>
      <c r="G130" s="5">
        <f t="shared" si="2"/>
        <v>11600402</v>
      </c>
    </row>
    <row r="131" spans="2:7" ht="18.75" customHeight="1">
      <c r="B131" s="1">
        <v>125</v>
      </c>
      <c r="C131" s="2">
        <v>46244</v>
      </c>
      <c r="D131" s="10" t="s">
        <v>447</v>
      </c>
      <c r="E131" s="4"/>
      <c r="F131" s="33">
        <v>662850</v>
      </c>
      <c r="G131" s="5">
        <f t="shared" si="2"/>
        <v>10937552</v>
      </c>
    </row>
    <row r="132" spans="2:7" ht="18.75" customHeight="1">
      <c r="B132" s="1">
        <v>126</v>
      </c>
      <c r="C132" s="2">
        <v>46244</v>
      </c>
      <c r="D132" s="10" t="s">
        <v>466</v>
      </c>
      <c r="E132" s="4"/>
      <c r="F132" s="33">
        <v>270216</v>
      </c>
      <c r="G132" s="5">
        <f t="shared" si="2"/>
        <v>10667336</v>
      </c>
    </row>
    <row r="133" spans="2:7" ht="18.75" customHeight="1">
      <c r="B133" s="1">
        <v>127</v>
      </c>
      <c r="C133" s="2">
        <v>46244</v>
      </c>
      <c r="D133" s="10" t="s">
        <v>467</v>
      </c>
      <c r="E133" s="4"/>
      <c r="F133" s="33">
        <v>981900</v>
      </c>
      <c r="G133" s="5">
        <f t="shared" si="2"/>
        <v>9685436</v>
      </c>
    </row>
    <row r="134" spans="2:7" ht="18.75" customHeight="1">
      <c r="B134" s="1">
        <v>128</v>
      </c>
      <c r="C134" s="2">
        <v>46244</v>
      </c>
      <c r="D134" s="10" t="s">
        <v>468</v>
      </c>
      <c r="E134" s="4"/>
      <c r="F134" s="33">
        <v>170000</v>
      </c>
      <c r="G134" s="5">
        <f t="shared" si="2"/>
        <v>9515436</v>
      </c>
    </row>
    <row r="135" spans="2:7" ht="18.75" customHeight="1">
      <c r="B135" s="1">
        <v>129</v>
      </c>
      <c r="C135" s="2">
        <v>46245</v>
      </c>
      <c r="D135" s="10" t="s">
        <v>469</v>
      </c>
      <c r="E135" s="4"/>
      <c r="F135" s="33">
        <v>650000</v>
      </c>
      <c r="G135" s="5">
        <f t="shared" si="2"/>
        <v>8865436</v>
      </c>
    </row>
    <row r="136" spans="2:7" ht="18.75" customHeight="1">
      <c r="B136" s="1">
        <v>130</v>
      </c>
      <c r="C136" s="2">
        <v>46245</v>
      </c>
      <c r="D136" s="10" t="s">
        <v>442</v>
      </c>
      <c r="E136" s="4"/>
      <c r="F136" s="33">
        <v>1500000</v>
      </c>
      <c r="G136" s="5">
        <f t="shared" si="2"/>
        <v>7365436</v>
      </c>
    </row>
    <row r="137" spans="2:7" ht="18.75" customHeight="1">
      <c r="B137" s="1">
        <v>131</v>
      </c>
      <c r="C137" s="2">
        <v>46245</v>
      </c>
      <c r="D137" s="10" t="s">
        <v>470</v>
      </c>
      <c r="E137" s="4"/>
      <c r="F137" s="33">
        <v>500000</v>
      </c>
      <c r="G137" s="5">
        <f t="shared" si="2"/>
        <v>6865436</v>
      </c>
    </row>
    <row r="138" spans="2:7" ht="18.75" customHeight="1">
      <c r="B138" s="1">
        <v>132</v>
      </c>
      <c r="C138" s="2">
        <v>46246</v>
      </c>
      <c r="D138" s="10" t="s">
        <v>374</v>
      </c>
      <c r="E138" s="4"/>
      <c r="F138" s="33">
        <v>302000</v>
      </c>
      <c r="G138" s="5">
        <f t="shared" si="2"/>
        <v>6563436</v>
      </c>
    </row>
    <row r="139" spans="2:7" ht="18.75" customHeight="1">
      <c r="B139" s="1">
        <v>133</v>
      </c>
      <c r="C139" s="2">
        <v>46247</v>
      </c>
      <c r="D139" s="10" t="s">
        <v>374</v>
      </c>
      <c r="E139" s="4"/>
      <c r="F139" s="33">
        <v>211000</v>
      </c>
      <c r="G139" s="5">
        <f t="shared" si="2"/>
        <v>6352436</v>
      </c>
    </row>
    <row r="140" spans="2:7" ht="18.75" customHeight="1">
      <c r="B140" s="1">
        <v>134</v>
      </c>
      <c r="C140" s="2">
        <v>46247</v>
      </c>
      <c r="D140" s="10" t="s">
        <v>471</v>
      </c>
      <c r="E140" s="4"/>
      <c r="F140" s="33">
        <v>1493700</v>
      </c>
      <c r="G140" s="5">
        <f t="shared" si="2"/>
        <v>4858736</v>
      </c>
    </row>
    <row r="141" spans="2:7" ht="18.75" customHeight="1">
      <c r="B141" s="1">
        <v>135</v>
      </c>
      <c r="C141" s="2">
        <v>46247</v>
      </c>
      <c r="D141" s="10" t="s">
        <v>472</v>
      </c>
      <c r="E141" s="4"/>
      <c r="F141" s="33">
        <v>649000</v>
      </c>
      <c r="G141" s="5">
        <f t="shared" si="2"/>
        <v>4209736</v>
      </c>
    </row>
    <row r="142" spans="2:7" ht="18.75" customHeight="1">
      <c r="B142" s="1">
        <v>136</v>
      </c>
      <c r="C142" s="2">
        <v>46248</v>
      </c>
      <c r="D142" s="10" t="s">
        <v>365</v>
      </c>
      <c r="E142" s="4"/>
      <c r="F142" s="34">
        <v>6502500</v>
      </c>
      <c r="G142" s="5">
        <f t="shared" si="2"/>
        <v>-2292764</v>
      </c>
    </row>
    <row r="143" spans="2:7" ht="18.75" customHeight="1">
      <c r="B143" s="1">
        <v>137</v>
      </c>
      <c r="C143" s="2">
        <v>46248</v>
      </c>
      <c r="D143" s="10" t="s">
        <v>473</v>
      </c>
      <c r="E143" s="4"/>
      <c r="F143" s="33">
        <v>455605</v>
      </c>
      <c r="G143" s="5">
        <f t="shared" si="2"/>
        <v>-2748369</v>
      </c>
    </row>
    <row r="144" spans="2:7" ht="18.75" customHeight="1">
      <c r="B144" s="1">
        <v>138</v>
      </c>
      <c r="C144" s="2">
        <v>46248</v>
      </c>
      <c r="D144" s="10" t="s">
        <v>437</v>
      </c>
      <c r="E144" s="4"/>
      <c r="F144" s="34">
        <v>15000000</v>
      </c>
      <c r="G144" s="5">
        <f t="shared" si="2"/>
        <v>-17748369</v>
      </c>
    </row>
    <row r="145" spans="2:7" ht="18.75" customHeight="1">
      <c r="B145" s="1">
        <v>139</v>
      </c>
      <c r="C145" s="2">
        <v>46249</v>
      </c>
      <c r="D145" s="10" t="s">
        <v>434</v>
      </c>
      <c r="E145" s="4"/>
      <c r="F145" s="33">
        <v>220000</v>
      </c>
      <c r="G145" s="5">
        <f t="shared" si="2"/>
        <v>-17968369</v>
      </c>
    </row>
    <row r="146" spans="2:7" ht="18.75" customHeight="1">
      <c r="B146" s="1">
        <v>140</v>
      </c>
      <c r="C146" s="2">
        <v>46249</v>
      </c>
      <c r="D146" s="10" t="s">
        <v>463</v>
      </c>
      <c r="E146" s="4"/>
      <c r="F146" s="33">
        <v>2750000</v>
      </c>
      <c r="G146" s="5">
        <f t="shared" si="2"/>
        <v>-20718369</v>
      </c>
    </row>
    <row r="147" spans="2:7" ht="18.75" customHeight="1">
      <c r="B147" s="1">
        <v>141</v>
      </c>
      <c r="C147" s="2">
        <v>46249</v>
      </c>
      <c r="D147" s="10" t="s">
        <v>434</v>
      </c>
      <c r="E147" s="4"/>
      <c r="F147" s="33">
        <v>80000</v>
      </c>
      <c r="G147" s="5">
        <f t="shared" si="2"/>
        <v>-20798369</v>
      </c>
    </row>
    <row r="148" spans="2:7" ht="18.75" customHeight="1">
      <c r="B148" s="1">
        <v>142</v>
      </c>
      <c r="C148" s="2">
        <v>46251</v>
      </c>
      <c r="D148" s="10" t="s">
        <v>474</v>
      </c>
      <c r="E148" s="4"/>
      <c r="F148" s="33">
        <v>2400000</v>
      </c>
      <c r="G148" s="5">
        <f t="shared" si="2"/>
        <v>-23198369</v>
      </c>
    </row>
    <row r="149" spans="2:7" ht="18.75" customHeight="1">
      <c r="B149" s="1">
        <v>143</v>
      </c>
      <c r="C149" s="2">
        <v>46252</v>
      </c>
      <c r="D149" s="10" t="s">
        <v>475</v>
      </c>
      <c r="E149" s="4"/>
      <c r="F149" s="33">
        <v>240000</v>
      </c>
      <c r="G149" s="5">
        <f t="shared" si="2"/>
        <v>-23438369</v>
      </c>
    </row>
    <row r="150" spans="2:7" ht="18.75" customHeight="1">
      <c r="B150" s="1">
        <v>144</v>
      </c>
      <c r="C150" s="2">
        <v>46252</v>
      </c>
      <c r="D150" s="10" t="s">
        <v>476</v>
      </c>
      <c r="E150" s="4"/>
      <c r="F150" s="33">
        <v>85000</v>
      </c>
      <c r="G150" s="5">
        <f t="shared" si="2"/>
        <v>-23523369</v>
      </c>
    </row>
    <row r="151" spans="2:7" ht="18.75" customHeight="1">
      <c r="B151" s="1">
        <v>145</v>
      </c>
      <c r="C151" s="2">
        <v>46252</v>
      </c>
      <c r="D151" s="10" t="s">
        <v>477</v>
      </c>
      <c r="E151" s="4"/>
      <c r="F151" s="33">
        <v>5900000</v>
      </c>
      <c r="G151" s="5">
        <f t="shared" si="2"/>
        <v>-29423369</v>
      </c>
    </row>
    <row r="152" spans="2:7" ht="18.75" customHeight="1">
      <c r="B152" s="1">
        <v>146</v>
      </c>
      <c r="C152" s="2">
        <v>46252</v>
      </c>
      <c r="D152" s="10" t="s">
        <v>465</v>
      </c>
      <c r="E152" s="4"/>
      <c r="F152" s="33">
        <v>365000</v>
      </c>
      <c r="G152" s="5">
        <f t="shared" si="2"/>
        <v>-29788369</v>
      </c>
    </row>
    <row r="153" spans="2:7" ht="18.75" customHeight="1">
      <c r="B153" s="1">
        <v>147</v>
      </c>
      <c r="C153" s="2">
        <v>46252</v>
      </c>
      <c r="D153" s="10" t="s">
        <v>478</v>
      </c>
      <c r="E153" s="4"/>
      <c r="F153" s="34">
        <v>2502500</v>
      </c>
      <c r="G153" s="5">
        <f t="shared" si="2"/>
        <v>-32290869</v>
      </c>
    </row>
    <row r="154" spans="2:7" ht="18.75" customHeight="1">
      <c r="B154" s="1">
        <v>148</v>
      </c>
      <c r="C154" s="2">
        <v>46252</v>
      </c>
      <c r="D154" s="10" t="s">
        <v>365</v>
      </c>
      <c r="E154" s="4"/>
      <c r="F154" s="34">
        <v>2275000</v>
      </c>
      <c r="G154" s="5">
        <f t="shared" si="2"/>
        <v>-34565869</v>
      </c>
    </row>
    <row r="155" spans="2:7" ht="18.75" customHeight="1">
      <c r="B155" s="1">
        <v>149</v>
      </c>
      <c r="C155" s="2">
        <v>46253</v>
      </c>
      <c r="D155" s="10" t="s">
        <v>436</v>
      </c>
      <c r="E155" s="4"/>
      <c r="F155" s="33">
        <v>383000</v>
      </c>
      <c r="G155" s="5">
        <f t="shared" si="2"/>
        <v>-34948869</v>
      </c>
    </row>
    <row r="156" spans="2:7" ht="18.75" customHeight="1">
      <c r="B156" s="1">
        <v>150</v>
      </c>
      <c r="C156" s="2">
        <v>46253</v>
      </c>
      <c r="D156" s="10" t="s">
        <v>479</v>
      </c>
      <c r="E156" s="4"/>
      <c r="F156" s="33">
        <v>3650000</v>
      </c>
      <c r="G156" s="5">
        <f t="shared" si="2"/>
        <v>-38598869</v>
      </c>
    </row>
    <row r="157" spans="2:7" ht="18.75" customHeight="1">
      <c r="B157" s="1">
        <v>151</v>
      </c>
      <c r="C157" s="2">
        <v>46254</v>
      </c>
      <c r="D157" s="10" t="s">
        <v>374</v>
      </c>
      <c r="E157" s="4"/>
      <c r="F157" s="33">
        <v>220000</v>
      </c>
      <c r="G157" s="5">
        <f t="shared" si="2"/>
        <v>-38818869</v>
      </c>
    </row>
    <row r="158" spans="2:7" ht="18.75" customHeight="1">
      <c r="B158" s="1">
        <v>152</v>
      </c>
      <c r="C158" s="2">
        <v>46255</v>
      </c>
      <c r="D158" s="10" t="s">
        <v>437</v>
      </c>
      <c r="E158" s="4"/>
      <c r="F158" s="34">
        <v>10000000</v>
      </c>
      <c r="G158" s="5">
        <f t="shared" si="2"/>
        <v>-48818869</v>
      </c>
    </row>
    <row r="159" spans="2:7" ht="18.75" customHeight="1">
      <c r="B159" s="1">
        <v>153</v>
      </c>
      <c r="C159" s="2">
        <v>46255</v>
      </c>
      <c r="D159" s="10" t="s">
        <v>454</v>
      </c>
      <c r="E159" s="4"/>
      <c r="F159" s="38">
        <v>210000</v>
      </c>
      <c r="G159" s="5">
        <f t="shared" si="2"/>
        <v>-49028869</v>
      </c>
    </row>
    <row r="160" spans="2:7" ht="18.75" customHeight="1">
      <c r="B160" s="1">
        <v>154</v>
      </c>
      <c r="C160" s="2">
        <v>46256</v>
      </c>
      <c r="D160" s="10" t="s">
        <v>480</v>
      </c>
      <c r="E160" s="4"/>
      <c r="F160" s="33">
        <v>148000</v>
      </c>
      <c r="G160" s="5">
        <f t="shared" si="2"/>
        <v>-49176869</v>
      </c>
    </row>
    <row r="161" spans="2:7" ht="18.75" customHeight="1">
      <c r="B161" s="1">
        <v>155</v>
      </c>
      <c r="C161" s="2">
        <v>46256</v>
      </c>
      <c r="D161" s="10" t="s">
        <v>374</v>
      </c>
      <c r="E161" s="4"/>
      <c r="F161" s="33">
        <v>104000</v>
      </c>
      <c r="G161" s="5">
        <f t="shared" si="2"/>
        <v>-49280869</v>
      </c>
    </row>
    <row r="162" spans="2:7" ht="18.75" customHeight="1">
      <c r="B162" s="1">
        <v>156</v>
      </c>
      <c r="C162" s="2">
        <v>46256</v>
      </c>
      <c r="D162" s="10" t="s">
        <v>481</v>
      </c>
      <c r="E162" s="4"/>
      <c r="F162" s="33">
        <v>698200</v>
      </c>
      <c r="G162" s="5">
        <f t="shared" si="2"/>
        <v>-49979069</v>
      </c>
    </row>
    <row r="163" spans="2:7" ht="18.75" customHeight="1">
      <c r="B163" s="1">
        <v>157</v>
      </c>
      <c r="C163" s="2">
        <v>46256</v>
      </c>
      <c r="D163" s="10" t="s">
        <v>398</v>
      </c>
      <c r="E163" s="4"/>
      <c r="F163" s="38">
        <v>350000</v>
      </c>
      <c r="G163" s="5">
        <f t="shared" si="2"/>
        <v>-50329069</v>
      </c>
    </row>
    <row r="164" spans="2:7" ht="18.75" customHeight="1">
      <c r="B164" s="1">
        <v>158</v>
      </c>
      <c r="C164" s="2">
        <v>46257</v>
      </c>
      <c r="D164" s="10" t="s">
        <v>454</v>
      </c>
      <c r="E164" s="4"/>
      <c r="F164" s="38">
        <v>275000</v>
      </c>
      <c r="G164" s="5">
        <f t="shared" si="2"/>
        <v>-50604069</v>
      </c>
    </row>
    <row r="165" spans="2:7" ht="18.75" customHeight="1">
      <c r="B165" s="1">
        <v>159</v>
      </c>
      <c r="C165" s="2">
        <v>46257</v>
      </c>
      <c r="D165" s="10" t="s">
        <v>457</v>
      </c>
      <c r="E165" s="4"/>
      <c r="F165" s="33">
        <v>130000</v>
      </c>
      <c r="G165" s="5">
        <f t="shared" si="2"/>
        <v>-50734069</v>
      </c>
    </row>
    <row r="166" spans="2:7" ht="18.75" customHeight="1">
      <c r="B166" s="1">
        <v>160</v>
      </c>
      <c r="C166" s="2">
        <v>46258</v>
      </c>
      <c r="D166" s="10" t="s">
        <v>433</v>
      </c>
      <c r="E166" s="4"/>
      <c r="F166" s="33">
        <v>503000</v>
      </c>
      <c r="G166" s="5">
        <f t="shared" si="2"/>
        <v>-51237069</v>
      </c>
    </row>
    <row r="167" spans="2:7" ht="18.75" customHeight="1">
      <c r="B167" s="1">
        <v>161</v>
      </c>
      <c r="C167" s="2">
        <v>46258</v>
      </c>
      <c r="D167" s="10" t="s">
        <v>434</v>
      </c>
      <c r="E167" s="4"/>
      <c r="F167" s="33">
        <v>259000</v>
      </c>
      <c r="G167" s="5">
        <f t="shared" si="2"/>
        <v>-51496069</v>
      </c>
    </row>
    <row r="168" spans="2:7" ht="18.75" customHeight="1">
      <c r="B168" s="1">
        <v>162</v>
      </c>
      <c r="C168" s="2">
        <v>46258</v>
      </c>
      <c r="D168" s="10" t="s">
        <v>434</v>
      </c>
      <c r="E168" s="4"/>
      <c r="F168" s="33">
        <v>124000</v>
      </c>
      <c r="G168" s="5">
        <f t="shared" si="2"/>
        <v>-51620069</v>
      </c>
    </row>
    <row r="169" spans="2:7" ht="18.75" customHeight="1">
      <c r="B169" s="1">
        <v>163</v>
      </c>
      <c r="C169" s="2">
        <v>46258</v>
      </c>
      <c r="D169" s="10" t="s">
        <v>434</v>
      </c>
      <c r="E169" s="4"/>
      <c r="F169" s="33">
        <v>57000</v>
      </c>
      <c r="G169" s="5">
        <f t="shared" si="2"/>
        <v>-51677069</v>
      </c>
    </row>
    <row r="170" spans="2:7" ht="18.75" customHeight="1">
      <c r="B170" s="1">
        <v>164</v>
      </c>
      <c r="C170" s="2">
        <v>46258</v>
      </c>
      <c r="D170" s="10" t="s">
        <v>422</v>
      </c>
      <c r="E170" s="4"/>
      <c r="F170" s="38">
        <v>40000</v>
      </c>
      <c r="G170" s="5">
        <f t="shared" si="2"/>
        <v>-51717069</v>
      </c>
    </row>
    <row r="171" spans="2:7" ht="18.75" customHeight="1">
      <c r="B171" s="1">
        <v>165</v>
      </c>
      <c r="C171" s="2">
        <v>46259</v>
      </c>
      <c r="D171" s="10" t="s">
        <v>482</v>
      </c>
      <c r="E171" s="4"/>
      <c r="F171" s="33">
        <v>105000</v>
      </c>
      <c r="G171" s="5">
        <f t="shared" si="2"/>
        <v>-51822069</v>
      </c>
    </row>
    <row r="172" spans="2:7" ht="18.75" customHeight="1">
      <c r="B172" s="1">
        <v>166</v>
      </c>
      <c r="C172" s="2">
        <v>46229</v>
      </c>
      <c r="D172" s="10" t="s">
        <v>483</v>
      </c>
      <c r="E172" s="4">
        <v>77000000</v>
      </c>
      <c r="F172" s="4"/>
      <c r="G172" s="5">
        <f>G171+E172</f>
        <v>25177931</v>
      </c>
    </row>
    <row r="173" spans="2:7" ht="18.75" customHeight="1">
      <c r="B173" s="1">
        <v>167</v>
      </c>
      <c r="C173" s="2">
        <v>46260</v>
      </c>
      <c r="D173" s="10" t="s">
        <v>484</v>
      </c>
      <c r="E173" s="4"/>
      <c r="F173" s="33">
        <v>100000</v>
      </c>
      <c r="G173" s="5">
        <f t="shared" si="2"/>
        <v>25077931</v>
      </c>
    </row>
    <row r="174" spans="2:7" ht="18.75" customHeight="1">
      <c r="B174" s="1">
        <v>168</v>
      </c>
      <c r="C174" s="2">
        <v>46261</v>
      </c>
      <c r="D174" s="10" t="s">
        <v>437</v>
      </c>
      <c r="E174" s="4"/>
      <c r="F174" s="34">
        <v>8000000</v>
      </c>
      <c r="G174" s="5">
        <f t="shared" si="2"/>
        <v>17077931</v>
      </c>
    </row>
    <row r="175" spans="2:7" ht="18.75" customHeight="1">
      <c r="B175" s="1">
        <v>169</v>
      </c>
      <c r="C175" s="2">
        <v>46262</v>
      </c>
      <c r="D175" s="10" t="s">
        <v>485</v>
      </c>
      <c r="E175" s="4"/>
      <c r="F175" s="33">
        <v>646999</v>
      </c>
      <c r="G175" s="5">
        <f t="shared" ref="G175:G198" si="3">G174-F175</f>
        <v>16430932</v>
      </c>
    </row>
    <row r="176" spans="2:7" ht="18.75" customHeight="1">
      <c r="B176" s="1">
        <v>170</v>
      </c>
      <c r="C176" s="2">
        <v>46263</v>
      </c>
      <c r="D176" s="10" t="s">
        <v>486</v>
      </c>
      <c r="E176" s="4"/>
      <c r="F176" s="33">
        <v>184900</v>
      </c>
      <c r="G176" s="5">
        <f t="shared" si="3"/>
        <v>16246032</v>
      </c>
    </row>
    <row r="177" spans="2:7" ht="18.75" customHeight="1">
      <c r="B177" s="1">
        <v>171</v>
      </c>
      <c r="C177" s="2">
        <v>46263</v>
      </c>
      <c r="D177" s="10" t="s">
        <v>340</v>
      </c>
      <c r="E177" s="4"/>
      <c r="F177" s="33">
        <v>2589000</v>
      </c>
      <c r="G177" s="5">
        <f t="shared" si="3"/>
        <v>13657032</v>
      </c>
    </row>
    <row r="178" spans="2:7" ht="18.75" customHeight="1">
      <c r="B178" s="1">
        <v>172</v>
      </c>
      <c r="C178" s="2">
        <v>46269</v>
      </c>
      <c r="D178" s="10" t="s">
        <v>487</v>
      </c>
      <c r="E178" s="4"/>
      <c r="F178" s="33">
        <v>1800000</v>
      </c>
      <c r="G178" s="5">
        <f t="shared" si="3"/>
        <v>11857032</v>
      </c>
    </row>
    <row r="179" spans="2:7" ht="18.75" customHeight="1">
      <c r="B179" s="1">
        <v>173</v>
      </c>
      <c r="C179" s="2">
        <v>46269</v>
      </c>
      <c r="D179" s="10" t="s">
        <v>488</v>
      </c>
      <c r="E179" s="4"/>
      <c r="F179" s="34">
        <v>200000</v>
      </c>
      <c r="G179" s="5">
        <f t="shared" si="3"/>
        <v>11657032</v>
      </c>
    </row>
    <row r="180" spans="2:7" ht="18.75" customHeight="1">
      <c r="B180" s="1">
        <v>174</v>
      </c>
      <c r="C180" s="2">
        <v>46270</v>
      </c>
      <c r="D180" s="10" t="s">
        <v>437</v>
      </c>
      <c r="E180" s="4"/>
      <c r="F180" s="34">
        <v>2500000</v>
      </c>
      <c r="G180" s="5">
        <f t="shared" si="3"/>
        <v>9157032</v>
      </c>
    </row>
    <row r="181" spans="2:7" ht="18.75" customHeight="1">
      <c r="B181" s="1">
        <v>175</v>
      </c>
      <c r="C181" s="2">
        <v>46270</v>
      </c>
      <c r="D181" s="10" t="s">
        <v>345</v>
      </c>
      <c r="E181" s="4"/>
      <c r="F181" s="34">
        <v>5000000</v>
      </c>
      <c r="G181" s="5">
        <f t="shared" si="3"/>
        <v>4157032</v>
      </c>
    </row>
    <row r="182" spans="2:7" ht="18.75" customHeight="1">
      <c r="B182" s="1">
        <v>176</v>
      </c>
      <c r="C182" s="2">
        <v>46271</v>
      </c>
      <c r="D182" s="10" t="s">
        <v>341</v>
      </c>
      <c r="E182" s="4"/>
      <c r="F182" s="34">
        <v>500000</v>
      </c>
      <c r="G182" s="5">
        <f t="shared" si="3"/>
        <v>3657032</v>
      </c>
    </row>
    <row r="183" spans="2:7" ht="18.75" customHeight="1">
      <c r="B183" s="1">
        <v>177</v>
      </c>
      <c r="C183" s="2">
        <v>46273</v>
      </c>
      <c r="D183" s="10" t="s">
        <v>489</v>
      </c>
      <c r="E183" s="4"/>
      <c r="F183" s="34">
        <v>2150000</v>
      </c>
      <c r="G183" s="5">
        <f t="shared" si="3"/>
        <v>1507032</v>
      </c>
    </row>
    <row r="184" spans="2:7" ht="18.75" customHeight="1">
      <c r="B184" s="1">
        <v>178</v>
      </c>
      <c r="C184" s="2">
        <v>46275</v>
      </c>
      <c r="D184" s="10" t="s">
        <v>490</v>
      </c>
      <c r="E184" s="4">
        <v>73738182</v>
      </c>
      <c r="F184" s="4"/>
      <c r="G184" s="5">
        <f>G183+E184</f>
        <v>75245214</v>
      </c>
    </row>
    <row r="185" spans="2:7" ht="18.75" customHeight="1">
      <c r="B185" s="1">
        <v>179</v>
      </c>
      <c r="C185" s="2">
        <v>46276</v>
      </c>
      <c r="D185" s="10" t="s">
        <v>491</v>
      </c>
      <c r="E185" s="4"/>
      <c r="F185" s="33">
        <v>332758</v>
      </c>
      <c r="G185" s="5">
        <f t="shared" si="3"/>
        <v>74912456</v>
      </c>
    </row>
    <row r="186" spans="2:7" ht="18.75" customHeight="1">
      <c r="B186" s="1">
        <v>180</v>
      </c>
      <c r="C186" s="2">
        <v>46277</v>
      </c>
      <c r="D186" s="10" t="s">
        <v>340</v>
      </c>
      <c r="E186" s="4"/>
      <c r="F186" s="33">
        <v>255000</v>
      </c>
      <c r="G186" s="5">
        <f t="shared" si="3"/>
        <v>74657456</v>
      </c>
    </row>
    <row r="187" spans="2:7" ht="18.75" customHeight="1">
      <c r="B187" s="1">
        <v>181</v>
      </c>
      <c r="C187" s="2">
        <v>46277</v>
      </c>
      <c r="D187" s="10" t="s">
        <v>365</v>
      </c>
      <c r="E187" s="4"/>
      <c r="F187" s="34">
        <v>396000</v>
      </c>
      <c r="G187" s="5">
        <f t="shared" si="3"/>
        <v>74261456</v>
      </c>
    </row>
    <row r="188" spans="2:7" ht="18.75" customHeight="1">
      <c r="B188" s="1">
        <v>182</v>
      </c>
      <c r="C188" s="2">
        <v>46277</v>
      </c>
      <c r="D188" s="10" t="s">
        <v>492</v>
      </c>
      <c r="E188" s="4"/>
      <c r="F188" s="33">
        <v>487000</v>
      </c>
      <c r="G188" s="5">
        <f t="shared" si="3"/>
        <v>73774456</v>
      </c>
    </row>
    <row r="189" spans="2:7" ht="18.75" customHeight="1">
      <c r="B189" s="1">
        <v>183</v>
      </c>
      <c r="C189" s="2">
        <v>46278</v>
      </c>
      <c r="D189" s="10" t="s">
        <v>493</v>
      </c>
      <c r="E189" s="4"/>
      <c r="F189" s="33">
        <v>3000000</v>
      </c>
      <c r="G189" s="5">
        <f t="shared" si="3"/>
        <v>70774456</v>
      </c>
    </row>
    <row r="190" spans="2:7" ht="18.75" customHeight="1">
      <c r="B190" s="1">
        <v>184</v>
      </c>
      <c r="C190" s="2">
        <v>46283</v>
      </c>
      <c r="D190" s="10" t="s">
        <v>437</v>
      </c>
      <c r="E190" s="4"/>
      <c r="F190" s="34">
        <v>1500000</v>
      </c>
      <c r="G190" s="5">
        <f t="shared" si="3"/>
        <v>69274456</v>
      </c>
    </row>
    <row r="191" spans="2:7" ht="18.75" customHeight="1">
      <c r="B191" s="1">
        <v>185</v>
      </c>
      <c r="C191" s="2">
        <v>46283</v>
      </c>
      <c r="D191" s="10" t="s">
        <v>365</v>
      </c>
      <c r="E191" s="4"/>
      <c r="F191" s="34">
        <v>720000</v>
      </c>
      <c r="G191" s="5">
        <f t="shared" si="3"/>
        <v>68554456</v>
      </c>
    </row>
    <row r="192" spans="2:7" ht="18.75" customHeight="1">
      <c r="B192" s="1">
        <v>186</v>
      </c>
      <c r="C192" s="2">
        <v>46287</v>
      </c>
      <c r="D192" s="10" t="s">
        <v>494</v>
      </c>
      <c r="E192" s="4"/>
      <c r="F192" s="33">
        <v>192000</v>
      </c>
      <c r="G192" s="5">
        <f t="shared" si="3"/>
        <v>68362456</v>
      </c>
    </row>
    <row r="193" spans="2:7" ht="18.75" customHeight="1">
      <c r="B193" s="1">
        <v>187</v>
      </c>
      <c r="C193" s="2">
        <v>46287</v>
      </c>
      <c r="D193" s="10" t="s">
        <v>437</v>
      </c>
      <c r="E193" s="4"/>
      <c r="F193" s="34">
        <v>500000</v>
      </c>
      <c r="G193" s="5">
        <f t="shared" si="3"/>
        <v>67862456</v>
      </c>
    </row>
    <row r="194" spans="2:7" ht="18.75" customHeight="1">
      <c r="B194" s="1">
        <v>188</v>
      </c>
      <c r="C194" s="2">
        <v>46287</v>
      </c>
      <c r="D194" s="10" t="s">
        <v>495</v>
      </c>
      <c r="E194" s="4"/>
      <c r="F194" s="33">
        <v>604200</v>
      </c>
      <c r="G194" s="5">
        <f t="shared" si="3"/>
        <v>67258256</v>
      </c>
    </row>
    <row r="195" spans="2:7" ht="18.75" customHeight="1">
      <c r="B195" s="1">
        <v>189</v>
      </c>
      <c r="C195" s="2">
        <v>46288</v>
      </c>
      <c r="D195" s="10" t="s">
        <v>494</v>
      </c>
      <c r="E195" s="4"/>
      <c r="F195" s="33">
        <v>174000</v>
      </c>
      <c r="G195" s="5">
        <f t="shared" si="3"/>
        <v>67084256</v>
      </c>
    </row>
    <row r="196" spans="2:7" ht="18.75" customHeight="1">
      <c r="B196" s="1">
        <v>190</v>
      </c>
      <c r="C196" s="2">
        <v>46290</v>
      </c>
      <c r="D196" s="10" t="s">
        <v>437</v>
      </c>
      <c r="E196" s="4"/>
      <c r="F196" s="34">
        <v>1000000</v>
      </c>
      <c r="G196" s="5">
        <f t="shared" si="3"/>
        <v>66084256</v>
      </c>
    </row>
    <row r="197" spans="2:7" ht="18.75" customHeight="1">
      <c r="B197" s="1">
        <v>191</v>
      </c>
      <c r="C197" s="2">
        <v>46297</v>
      </c>
      <c r="D197" s="10" t="s">
        <v>496</v>
      </c>
      <c r="E197" s="4"/>
      <c r="F197" s="33">
        <v>115000</v>
      </c>
      <c r="G197" s="5">
        <f t="shared" si="3"/>
        <v>65969256</v>
      </c>
    </row>
    <row r="198" spans="2:7" ht="18.75" customHeight="1">
      <c r="B198" s="1">
        <v>192</v>
      </c>
      <c r="C198" s="2">
        <v>46300</v>
      </c>
      <c r="D198" s="10" t="s">
        <v>497</v>
      </c>
      <c r="E198" s="4"/>
      <c r="F198" s="33">
        <v>835000</v>
      </c>
      <c r="G198" s="5">
        <f t="shared" si="3"/>
        <v>65134256</v>
      </c>
    </row>
    <row r="199" spans="2:7" ht="18.75" customHeight="1">
      <c r="B199" s="1">
        <v>193</v>
      </c>
      <c r="C199" s="2">
        <v>46304</v>
      </c>
      <c r="D199" s="10" t="s">
        <v>498</v>
      </c>
      <c r="E199" s="4"/>
      <c r="F199" s="4">
        <v>145000</v>
      </c>
      <c r="G199" s="5"/>
    </row>
    <row r="200" spans="2:7" ht="18.75" customHeight="1">
      <c r="B200" s="1">
        <v>194</v>
      </c>
      <c r="C200" s="2">
        <v>46304</v>
      </c>
      <c r="D200" s="10" t="s">
        <v>340</v>
      </c>
      <c r="E200" s="4"/>
      <c r="F200" s="4">
        <v>528000</v>
      </c>
      <c r="G200" s="5"/>
    </row>
    <row r="201" spans="2:7" ht="18.75" customHeight="1">
      <c r="B201" s="1"/>
      <c r="C201" s="2"/>
      <c r="D201" s="10"/>
      <c r="E201" s="4"/>
      <c r="F201" s="4"/>
      <c r="G201" s="5"/>
    </row>
    <row r="202" spans="2:7" ht="18.75" customHeight="1">
      <c r="B202" s="1"/>
      <c r="C202" s="2"/>
      <c r="D202" s="10"/>
      <c r="E202" s="4"/>
      <c r="F202" s="4"/>
      <c r="G202" s="5"/>
    </row>
    <row r="203" spans="2:7" ht="18.75" customHeight="1">
      <c r="B203" s="1"/>
      <c r="C203" s="2"/>
      <c r="D203" s="10"/>
      <c r="E203" s="4"/>
      <c r="F203" s="4"/>
      <c r="G203" s="5"/>
    </row>
    <row r="204" spans="2:7" ht="18.75" customHeight="1" thickBot="1">
      <c r="B204" s="1"/>
      <c r="C204" s="2"/>
      <c r="D204" s="10"/>
      <c r="E204" s="4"/>
      <c r="F204" s="4"/>
      <c r="G204" s="5"/>
    </row>
    <row r="205" spans="2:7" ht="18.75" customHeight="1" thickTop="1" thickBot="1">
      <c r="B205" s="66" t="s">
        <v>337</v>
      </c>
      <c r="C205" s="97"/>
      <c r="D205" s="67"/>
      <c r="E205" s="9">
        <f>SUM(E7:E204)</f>
        <v>420238182</v>
      </c>
      <c r="F205" s="9">
        <f>SUM(F7:F204)</f>
        <v>355776926</v>
      </c>
      <c r="G205" s="60">
        <f>E205-F205</f>
        <v>64461256</v>
      </c>
    </row>
    <row r="206" spans="2:7" ht="15.75" thickTop="1">
      <c r="G206" s="55">
        <f>G205/E205</f>
        <v>0.15339219224016157</v>
      </c>
    </row>
  </sheetData>
  <mergeCells count="5">
    <mergeCell ref="B2:G2"/>
    <mergeCell ref="B3:G3"/>
    <mergeCell ref="B4:G4"/>
    <mergeCell ref="B5:G5"/>
    <mergeCell ref="B205:D205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D229-FF87-42DB-A7CC-A6989A702ED9}">
  <dimension ref="B1:J127"/>
  <sheetViews>
    <sheetView tabSelected="1" topLeftCell="A101" workbookViewId="0">
      <selection activeCell="F122" sqref="F122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13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46142</v>
      </c>
      <c r="D7" s="3" t="s">
        <v>499</v>
      </c>
      <c r="E7" s="4"/>
      <c r="F7" s="33">
        <v>36000</v>
      </c>
      <c r="G7" s="5">
        <f>-F7</f>
        <v>-36000</v>
      </c>
      <c r="I7" s="16" t="s">
        <v>27</v>
      </c>
      <c r="J7" s="39">
        <f>F7+F12+SUM(F15:F20)+SUM(F22:F28)+F31+F33+SUM(F35:F39)+SUM(F41:F42)+SUM(F44:F49)+SUM(F51:F54)+SUM(F57:F60)+SUM(F62:F63)+SUM(F65:F67)+SUM(F69:F71)+SUM(F73:F78)+SUM(F82:F84)+SUM(F86:F87)+SUM(F89:F90)+F92+SUM(F94:F98)+F100+SUM(F102:F104)+SUM(F107:F108)+SUM(F111:F114,F116:F118)</f>
        <v>171426833</v>
      </c>
    </row>
    <row r="8" spans="2:10" ht="18.75" customHeight="1">
      <c r="B8" s="1">
        <v>2</v>
      </c>
      <c r="C8" s="2">
        <v>46146</v>
      </c>
      <c r="D8" s="3" t="s">
        <v>500</v>
      </c>
      <c r="E8" s="4">
        <v>50000000</v>
      </c>
      <c r="F8" s="4"/>
      <c r="G8" s="5">
        <f>G7+E8</f>
        <v>49964000</v>
      </c>
      <c r="I8" s="17" t="s">
        <v>28</v>
      </c>
      <c r="J8" s="5">
        <f>F13+F21+F29+F30+F32+F34+F40+F43+F50+SUM(F55:F56)+F61+F64+F68+F72+SUM(F79:F80)+F85+F88+F91+F93+F99+F101+SUM(F105:F106)+SUM(F109:F110)+F115</f>
        <v>148753670</v>
      </c>
    </row>
    <row r="9" spans="2:10" ht="18.75" customHeight="1">
      <c r="B9" s="1">
        <v>3</v>
      </c>
      <c r="C9" s="2">
        <v>46147</v>
      </c>
      <c r="D9" s="3" t="s">
        <v>501</v>
      </c>
      <c r="E9" s="4">
        <v>50000000</v>
      </c>
      <c r="F9" s="4"/>
      <c r="G9" s="5">
        <f>G8+E9</f>
        <v>99964000</v>
      </c>
      <c r="I9" s="18" t="s">
        <v>29</v>
      </c>
      <c r="J9" s="5"/>
    </row>
    <row r="10" spans="2:10" ht="18.75" customHeight="1" thickBot="1">
      <c r="B10" s="1">
        <v>4</v>
      </c>
      <c r="C10" s="2">
        <v>46148</v>
      </c>
      <c r="D10" s="3" t="s">
        <v>502</v>
      </c>
      <c r="E10" s="4">
        <v>50000000</v>
      </c>
      <c r="F10" s="4"/>
      <c r="G10" s="5">
        <f>G9+E10</f>
        <v>149964000</v>
      </c>
      <c r="I10" s="37" t="s">
        <v>30</v>
      </c>
      <c r="J10" s="15"/>
    </row>
    <row r="11" spans="2:10" ht="18.75" customHeight="1" thickTop="1">
      <c r="B11" s="1">
        <v>5</v>
      </c>
      <c r="C11" s="2">
        <v>46149</v>
      </c>
      <c r="D11" s="3" t="s">
        <v>503</v>
      </c>
      <c r="E11" s="4">
        <v>50000000</v>
      </c>
      <c r="F11" s="4"/>
      <c r="G11" s="5">
        <f>G10+E11</f>
        <v>199964000</v>
      </c>
      <c r="J11" s="35">
        <f>SUM(J7:J10)</f>
        <v>320180503</v>
      </c>
    </row>
    <row r="12" spans="2:10" ht="18.75" customHeight="1">
      <c r="B12" s="1">
        <v>6</v>
      </c>
      <c r="C12" s="2">
        <v>46150</v>
      </c>
      <c r="D12" s="3" t="s">
        <v>504</v>
      </c>
      <c r="E12" s="4"/>
      <c r="F12" s="33">
        <v>3892000</v>
      </c>
      <c r="G12" s="5">
        <f>G11-F12</f>
        <v>196072000</v>
      </c>
      <c r="J12" s="35"/>
    </row>
    <row r="13" spans="2:10" ht="18.75" customHeight="1">
      <c r="B13" s="1">
        <v>7</v>
      </c>
      <c r="C13" s="2">
        <v>46150</v>
      </c>
      <c r="D13" s="10" t="s">
        <v>341</v>
      </c>
      <c r="E13" s="4"/>
      <c r="F13" s="34">
        <v>2000000</v>
      </c>
      <c r="G13" s="5">
        <f>G12-F13</f>
        <v>194072000</v>
      </c>
      <c r="I13" t="s">
        <v>505</v>
      </c>
      <c r="J13" s="35">
        <v>7800000</v>
      </c>
    </row>
    <row r="14" spans="2:10" ht="18.75" customHeight="1">
      <c r="B14" s="1">
        <v>8</v>
      </c>
      <c r="C14" s="2">
        <v>46150</v>
      </c>
      <c r="D14" s="10" t="s">
        <v>506</v>
      </c>
      <c r="E14" s="4">
        <v>100000000</v>
      </c>
      <c r="F14" s="4"/>
      <c r="G14" s="5">
        <f>G13+E14</f>
        <v>294072000</v>
      </c>
      <c r="I14" t="s">
        <v>437</v>
      </c>
      <c r="J14" s="35">
        <f>F106+F109</f>
        <v>5500000</v>
      </c>
    </row>
    <row r="15" spans="2:10" ht="18.75" customHeight="1">
      <c r="B15" s="1">
        <v>9</v>
      </c>
      <c r="C15" s="2">
        <v>46151</v>
      </c>
      <c r="D15" s="10" t="s">
        <v>507</v>
      </c>
      <c r="E15" s="4"/>
      <c r="F15" s="33">
        <v>6002500</v>
      </c>
      <c r="G15" s="5">
        <f>G14-F15</f>
        <v>288069500</v>
      </c>
      <c r="I15" t="s">
        <v>508</v>
      </c>
      <c r="J15" s="35">
        <f>J13-J14</f>
        <v>2300000</v>
      </c>
    </row>
    <row r="16" spans="2:10" ht="18.75" customHeight="1">
      <c r="B16" s="1">
        <v>10</v>
      </c>
      <c r="C16" s="2">
        <v>46153</v>
      </c>
      <c r="D16" s="10" t="s">
        <v>434</v>
      </c>
      <c r="E16" s="4"/>
      <c r="F16" s="33">
        <v>625000</v>
      </c>
      <c r="G16" s="5">
        <f t="shared" ref="G16:G23" si="0">G15-F16</f>
        <v>287444500</v>
      </c>
      <c r="J16" s="35"/>
    </row>
    <row r="17" spans="2:10" ht="18.75" customHeight="1">
      <c r="B17" s="1">
        <v>11</v>
      </c>
      <c r="C17" s="2">
        <v>46154</v>
      </c>
      <c r="D17" s="10" t="s">
        <v>509</v>
      </c>
      <c r="E17" s="4"/>
      <c r="F17" s="33">
        <v>1050000</v>
      </c>
      <c r="G17" s="5">
        <f t="shared" si="0"/>
        <v>286394500</v>
      </c>
    </row>
    <row r="18" spans="2:10" ht="18.75" customHeight="1">
      <c r="B18" s="1">
        <v>12</v>
      </c>
      <c r="C18" s="2">
        <v>46154</v>
      </c>
      <c r="D18" s="10" t="s">
        <v>398</v>
      </c>
      <c r="E18" s="4"/>
      <c r="F18" s="33">
        <v>350000</v>
      </c>
      <c r="G18" s="5">
        <f t="shared" si="0"/>
        <v>286044500</v>
      </c>
      <c r="J18" s="35"/>
    </row>
    <row r="19" spans="2:10" ht="18.75" customHeight="1">
      <c r="B19" s="1">
        <v>13</v>
      </c>
      <c r="C19" s="2">
        <v>46156</v>
      </c>
      <c r="D19" s="10" t="s">
        <v>510</v>
      </c>
      <c r="E19" s="4"/>
      <c r="F19" s="33">
        <v>1985000</v>
      </c>
      <c r="G19" s="5">
        <f t="shared" si="0"/>
        <v>284059500</v>
      </c>
    </row>
    <row r="20" spans="2:10" ht="18.75" customHeight="1">
      <c r="B20" s="1">
        <v>14</v>
      </c>
      <c r="C20" s="2">
        <v>46156</v>
      </c>
      <c r="D20" s="10" t="s">
        <v>511</v>
      </c>
      <c r="E20" s="4"/>
      <c r="F20" s="33">
        <v>345000</v>
      </c>
      <c r="G20" s="5">
        <f t="shared" si="0"/>
        <v>283714500</v>
      </c>
      <c r="J20" s="35"/>
    </row>
    <row r="21" spans="2:10" ht="18.75" customHeight="1">
      <c r="B21" s="1">
        <v>15</v>
      </c>
      <c r="C21" s="2">
        <v>46157</v>
      </c>
      <c r="D21" s="10" t="s">
        <v>512</v>
      </c>
      <c r="E21" s="4"/>
      <c r="F21" s="34">
        <v>5500000</v>
      </c>
      <c r="G21" s="5">
        <f t="shared" si="0"/>
        <v>278214500</v>
      </c>
    </row>
    <row r="22" spans="2:10" ht="18.75" customHeight="1">
      <c r="B22" s="1">
        <v>16</v>
      </c>
      <c r="C22" s="2">
        <v>46158</v>
      </c>
      <c r="D22" s="10" t="s">
        <v>513</v>
      </c>
      <c r="E22" s="4"/>
      <c r="F22" s="33">
        <v>2070000</v>
      </c>
      <c r="G22" s="5">
        <f t="shared" si="0"/>
        <v>276144500</v>
      </c>
    </row>
    <row r="23" spans="2:10" ht="18.75" customHeight="1">
      <c r="B23" s="1">
        <v>17</v>
      </c>
      <c r="C23" s="2">
        <v>46160</v>
      </c>
      <c r="D23" s="10" t="s">
        <v>398</v>
      </c>
      <c r="E23" s="4"/>
      <c r="F23" s="33">
        <v>350000</v>
      </c>
      <c r="G23" s="5">
        <f t="shared" si="0"/>
        <v>275794500</v>
      </c>
    </row>
    <row r="24" spans="2:10" ht="18.75" customHeight="1">
      <c r="B24" s="1">
        <v>18</v>
      </c>
      <c r="C24" s="2">
        <v>46161</v>
      </c>
      <c r="D24" s="10" t="s">
        <v>514</v>
      </c>
      <c r="E24" s="4"/>
      <c r="F24" s="33">
        <v>485000</v>
      </c>
      <c r="G24" s="5">
        <f>G23-F24</f>
        <v>275309500</v>
      </c>
    </row>
    <row r="25" spans="2:10" ht="18.75" customHeight="1">
      <c r="B25" s="1">
        <v>19</v>
      </c>
      <c r="C25" s="2">
        <v>46162</v>
      </c>
      <c r="D25" s="10" t="s">
        <v>504</v>
      </c>
      <c r="E25" s="4"/>
      <c r="F25" s="33">
        <v>2525000</v>
      </c>
      <c r="G25" s="5">
        <f>G24-F25</f>
        <v>272784500</v>
      </c>
    </row>
    <row r="26" spans="2:10" ht="18.75" customHeight="1">
      <c r="B26" s="1">
        <v>20</v>
      </c>
      <c r="C26" s="2">
        <v>46163</v>
      </c>
      <c r="D26" s="10" t="s">
        <v>398</v>
      </c>
      <c r="E26" s="4"/>
      <c r="F26" s="33">
        <v>350000</v>
      </c>
      <c r="G26" s="5">
        <f t="shared" ref="G26:G80" si="1">G25-F26</f>
        <v>272434500</v>
      </c>
    </row>
    <row r="27" spans="2:10" ht="18.75" customHeight="1">
      <c r="B27" s="1">
        <v>21</v>
      </c>
      <c r="C27" s="2">
        <v>46164</v>
      </c>
      <c r="D27" s="10" t="s">
        <v>398</v>
      </c>
      <c r="E27" s="4"/>
      <c r="F27" s="33">
        <v>350000</v>
      </c>
      <c r="G27" s="5">
        <f t="shared" si="1"/>
        <v>272084500</v>
      </c>
    </row>
    <row r="28" spans="2:10" ht="18.75" customHeight="1">
      <c r="B28" s="1">
        <v>22</v>
      </c>
      <c r="C28" s="2">
        <v>46165</v>
      </c>
      <c r="D28" s="10" t="s">
        <v>261</v>
      </c>
      <c r="E28" s="4"/>
      <c r="F28" s="33">
        <v>2000</v>
      </c>
      <c r="G28" s="5">
        <f t="shared" si="1"/>
        <v>272082500</v>
      </c>
    </row>
    <row r="29" spans="2:10" ht="18.75" customHeight="1">
      <c r="B29" s="1">
        <v>23</v>
      </c>
      <c r="C29" s="2">
        <v>46165</v>
      </c>
      <c r="D29" s="10" t="s">
        <v>341</v>
      </c>
      <c r="E29" s="4"/>
      <c r="F29" s="34">
        <v>6700000</v>
      </c>
      <c r="G29" s="5">
        <f t="shared" si="1"/>
        <v>265382500</v>
      </c>
    </row>
    <row r="30" spans="2:10" ht="18.75" customHeight="1">
      <c r="B30" s="1">
        <v>24</v>
      </c>
      <c r="C30" s="2">
        <v>46167</v>
      </c>
      <c r="D30" s="10" t="s">
        <v>341</v>
      </c>
      <c r="E30" s="4"/>
      <c r="F30" s="34">
        <v>2000000</v>
      </c>
      <c r="G30" s="5">
        <f t="shared" si="1"/>
        <v>263382500</v>
      </c>
    </row>
    <row r="31" spans="2:10" ht="18.75" customHeight="1">
      <c r="B31" s="1">
        <v>25</v>
      </c>
      <c r="C31" s="2">
        <v>46175</v>
      </c>
      <c r="D31" s="10" t="s">
        <v>374</v>
      </c>
      <c r="E31" s="4"/>
      <c r="F31" s="33">
        <v>2570000</v>
      </c>
      <c r="G31" s="5">
        <f t="shared" si="1"/>
        <v>260812500</v>
      </c>
    </row>
    <row r="32" spans="2:10" ht="18.75" customHeight="1">
      <c r="B32" s="1">
        <v>26</v>
      </c>
      <c r="C32" s="2">
        <v>46177</v>
      </c>
      <c r="D32" s="10" t="s">
        <v>341</v>
      </c>
      <c r="E32" s="4"/>
      <c r="F32" s="34">
        <v>1000000</v>
      </c>
      <c r="G32" s="5">
        <f t="shared" si="1"/>
        <v>259812500</v>
      </c>
    </row>
    <row r="33" spans="2:7" ht="18.75" customHeight="1">
      <c r="B33" s="1">
        <v>27</v>
      </c>
      <c r="C33" s="2">
        <v>46178</v>
      </c>
      <c r="D33" s="10" t="s">
        <v>374</v>
      </c>
      <c r="E33" s="4"/>
      <c r="F33" s="33">
        <v>1950000</v>
      </c>
      <c r="G33" s="5">
        <f t="shared" si="1"/>
        <v>257862500</v>
      </c>
    </row>
    <row r="34" spans="2:7" ht="18.75" customHeight="1">
      <c r="B34" s="1">
        <v>28</v>
      </c>
      <c r="C34" s="2">
        <v>46179</v>
      </c>
      <c r="D34" s="10" t="s">
        <v>345</v>
      </c>
      <c r="E34" s="4"/>
      <c r="F34" s="34">
        <v>2890000</v>
      </c>
      <c r="G34" s="5">
        <f t="shared" si="1"/>
        <v>254972500</v>
      </c>
    </row>
    <row r="35" spans="2:7" ht="18.75" customHeight="1">
      <c r="B35" s="1">
        <v>29</v>
      </c>
      <c r="C35" s="2">
        <v>46181</v>
      </c>
      <c r="D35" s="10" t="s">
        <v>374</v>
      </c>
      <c r="E35" s="4"/>
      <c r="F35" s="33">
        <v>3459000</v>
      </c>
      <c r="G35" s="5">
        <f t="shared" si="1"/>
        <v>251513500</v>
      </c>
    </row>
    <row r="36" spans="2:7" ht="18.75" customHeight="1">
      <c r="B36" s="1">
        <v>30</v>
      </c>
      <c r="C36" s="2">
        <v>46181</v>
      </c>
      <c r="D36" s="10" t="s">
        <v>398</v>
      </c>
      <c r="E36" s="4"/>
      <c r="F36" s="33">
        <v>1600000</v>
      </c>
      <c r="G36" s="5">
        <f t="shared" si="1"/>
        <v>249913500</v>
      </c>
    </row>
    <row r="37" spans="2:7" ht="18.75" customHeight="1">
      <c r="B37" s="1">
        <v>31</v>
      </c>
      <c r="C37" s="2">
        <v>46182</v>
      </c>
      <c r="D37" s="10" t="s">
        <v>398</v>
      </c>
      <c r="E37" s="4"/>
      <c r="F37" s="33">
        <v>350000</v>
      </c>
      <c r="G37" s="5">
        <f t="shared" si="1"/>
        <v>249563500</v>
      </c>
    </row>
    <row r="38" spans="2:7" ht="18.75" customHeight="1">
      <c r="B38" s="1">
        <v>32</v>
      </c>
      <c r="C38" s="2">
        <v>46182</v>
      </c>
      <c r="D38" s="10" t="s">
        <v>374</v>
      </c>
      <c r="E38" s="4"/>
      <c r="F38" s="33">
        <v>1320000</v>
      </c>
      <c r="G38" s="5">
        <f t="shared" si="1"/>
        <v>248243500</v>
      </c>
    </row>
    <row r="39" spans="2:7" ht="18.75" customHeight="1">
      <c r="B39" s="1">
        <v>33</v>
      </c>
      <c r="C39" s="2">
        <v>46185</v>
      </c>
      <c r="D39" s="10" t="s">
        <v>374</v>
      </c>
      <c r="E39" s="4"/>
      <c r="F39" s="33">
        <v>2448000</v>
      </c>
      <c r="G39" s="5">
        <f t="shared" si="1"/>
        <v>245795500</v>
      </c>
    </row>
    <row r="40" spans="2:7" ht="18.75" customHeight="1">
      <c r="B40" s="1">
        <v>34</v>
      </c>
      <c r="C40" s="2">
        <v>46185</v>
      </c>
      <c r="D40" s="10" t="s">
        <v>345</v>
      </c>
      <c r="E40" s="4"/>
      <c r="F40" s="34">
        <v>7608660</v>
      </c>
      <c r="G40" s="5">
        <f t="shared" si="1"/>
        <v>238186840</v>
      </c>
    </row>
    <row r="41" spans="2:7" ht="18.75" customHeight="1">
      <c r="B41" s="1">
        <v>35</v>
      </c>
      <c r="C41" s="2">
        <v>46190</v>
      </c>
      <c r="D41" s="10" t="s">
        <v>374</v>
      </c>
      <c r="E41" s="4"/>
      <c r="F41" s="33">
        <v>1495000</v>
      </c>
      <c r="G41" s="5">
        <f t="shared" si="1"/>
        <v>236691840</v>
      </c>
    </row>
    <row r="42" spans="2:7" ht="18.75" customHeight="1">
      <c r="B42" s="1">
        <v>36</v>
      </c>
      <c r="C42" s="2">
        <v>46192</v>
      </c>
      <c r="D42" s="10" t="s">
        <v>374</v>
      </c>
      <c r="E42" s="4"/>
      <c r="F42" s="33">
        <v>1820000</v>
      </c>
      <c r="G42" s="5">
        <f t="shared" si="1"/>
        <v>234871840</v>
      </c>
    </row>
    <row r="43" spans="2:7" ht="18.75" customHeight="1">
      <c r="B43" s="1">
        <v>37</v>
      </c>
      <c r="C43" s="2">
        <v>46192</v>
      </c>
      <c r="D43" s="10" t="s">
        <v>345</v>
      </c>
      <c r="E43" s="4"/>
      <c r="F43" s="34">
        <v>6419150</v>
      </c>
      <c r="G43" s="5">
        <f t="shared" si="1"/>
        <v>228452690</v>
      </c>
    </row>
    <row r="44" spans="2:7" ht="18.75" customHeight="1">
      <c r="B44" s="1">
        <v>38</v>
      </c>
      <c r="C44" s="2">
        <v>46192</v>
      </c>
      <c r="D44" s="10" t="s">
        <v>434</v>
      </c>
      <c r="E44" s="4"/>
      <c r="F44" s="33">
        <v>267200</v>
      </c>
      <c r="G44" s="5">
        <f t="shared" si="1"/>
        <v>228185490</v>
      </c>
    </row>
    <row r="45" spans="2:7" ht="18.75" customHeight="1">
      <c r="B45" s="1">
        <v>39</v>
      </c>
      <c r="C45" s="2">
        <v>46195</v>
      </c>
      <c r="D45" s="10" t="s">
        <v>398</v>
      </c>
      <c r="E45" s="4"/>
      <c r="F45" s="33">
        <v>350000</v>
      </c>
      <c r="G45" s="5">
        <f t="shared" si="1"/>
        <v>227835490</v>
      </c>
    </row>
    <row r="46" spans="2:7" ht="18.75" customHeight="1">
      <c r="B46" s="1">
        <v>40</v>
      </c>
      <c r="C46" s="2">
        <v>46195</v>
      </c>
      <c r="D46" s="10" t="s">
        <v>515</v>
      </c>
      <c r="E46" s="4"/>
      <c r="F46" s="33">
        <v>10572600</v>
      </c>
      <c r="G46" s="5">
        <f t="shared" si="1"/>
        <v>217262890</v>
      </c>
    </row>
    <row r="47" spans="2:7" ht="18.75" customHeight="1">
      <c r="B47" s="1">
        <v>41</v>
      </c>
      <c r="C47" s="2">
        <v>46197</v>
      </c>
      <c r="D47" s="10" t="s">
        <v>516</v>
      </c>
      <c r="E47" s="4"/>
      <c r="F47" s="33">
        <v>5900000</v>
      </c>
      <c r="G47" s="5">
        <f t="shared" si="1"/>
        <v>211362890</v>
      </c>
    </row>
    <row r="48" spans="2:7" ht="18.75" customHeight="1">
      <c r="B48" s="1">
        <v>42</v>
      </c>
      <c r="C48" s="2">
        <v>46199</v>
      </c>
      <c r="D48" s="10" t="s">
        <v>442</v>
      </c>
      <c r="E48" s="4"/>
      <c r="F48" s="33">
        <v>6000000</v>
      </c>
      <c r="G48" s="5">
        <f t="shared" si="1"/>
        <v>205362890</v>
      </c>
    </row>
    <row r="49" spans="2:7" ht="18.75" customHeight="1">
      <c r="B49" s="1">
        <v>43</v>
      </c>
      <c r="C49" s="2">
        <v>46199</v>
      </c>
      <c r="D49" s="10" t="s">
        <v>517</v>
      </c>
      <c r="E49" s="4"/>
      <c r="F49" s="33">
        <v>720000</v>
      </c>
      <c r="G49" s="5">
        <f t="shared" si="1"/>
        <v>204642890</v>
      </c>
    </row>
    <row r="50" spans="2:7" ht="18.75" customHeight="1">
      <c r="B50" s="1">
        <v>44</v>
      </c>
      <c r="C50" s="2">
        <v>46200</v>
      </c>
      <c r="D50" s="10" t="s">
        <v>345</v>
      </c>
      <c r="E50" s="4"/>
      <c r="F50" s="34">
        <v>6440200</v>
      </c>
      <c r="G50" s="5">
        <f t="shared" si="1"/>
        <v>198202690</v>
      </c>
    </row>
    <row r="51" spans="2:7" ht="18.75" customHeight="1">
      <c r="B51" s="1">
        <v>45</v>
      </c>
      <c r="C51" s="2">
        <v>46202</v>
      </c>
      <c r="D51" s="10" t="s">
        <v>398</v>
      </c>
      <c r="E51" s="4"/>
      <c r="F51" s="33">
        <v>700000</v>
      </c>
      <c r="G51" s="5">
        <f t="shared" si="1"/>
        <v>197502690</v>
      </c>
    </row>
    <row r="52" spans="2:7" ht="18.75" customHeight="1">
      <c r="B52" s="1">
        <v>46</v>
      </c>
      <c r="C52" s="2">
        <v>46203</v>
      </c>
      <c r="D52" s="10" t="s">
        <v>374</v>
      </c>
      <c r="E52" s="4"/>
      <c r="F52" s="33">
        <v>1066000</v>
      </c>
      <c r="G52" s="5">
        <f t="shared" si="1"/>
        <v>196436690</v>
      </c>
    </row>
    <row r="53" spans="2:7" ht="18.75" customHeight="1">
      <c r="B53" s="1">
        <v>47</v>
      </c>
      <c r="C53" s="2">
        <v>46204</v>
      </c>
      <c r="D53" s="10" t="s">
        <v>374</v>
      </c>
      <c r="E53" s="4"/>
      <c r="F53" s="33">
        <v>1480000</v>
      </c>
      <c r="G53" s="5">
        <f t="shared" si="1"/>
        <v>194956690</v>
      </c>
    </row>
    <row r="54" spans="2:7" ht="18.75" customHeight="1">
      <c r="B54" s="1">
        <v>48</v>
      </c>
      <c r="C54" s="2">
        <v>46204</v>
      </c>
      <c r="D54" s="10" t="s">
        <v>518</v>
      </c>
      <c r="E54" s="4"/>
      <c r="F54" s="33">
        <v>1187848</v>
      </c>
      <c r="G54" s="5">
        <f t="shared" si="1"/>
        <v>193768842</v>
      </c>
    </row>
    <row r="55" spans="2:7" ht="18.75" customHeight="1">
      <c r="B55" s="1">
        <v>49</v>
      </c>
      <c r="C55" s="2">
        <v>46204</v>
      </c>
      <c r="D55" s="10" t="s">
        <v>519</v>
      </c>
      <c r="E55" s="4"/>
      <c r="F55" s="34">
        <v>2500000</v>
      </c>
      <c r="G55" s="5">
        <f t="shared" si="1"/>
        <v>191268842</v>
      </c>
    </row>
    <row r="56" spans="2:7" ht="18.75" customHeight="1">
      <c r="B56" s="1">
        <v>50</v>
      </c>
      <c r="C56" s="2">
        <v>46207</v>
      </c>
      <c r="D56" s="10" t="s">
        <v>345</v>
      </c>
      <c r="E56" s="4"/>
      <c r="F56" s="34">
        <v>9638620</v>
      </c>
      <c r="G56" s="5">
        <f t="shared" si="1"/>
        <v>181630222</v>
      </c>
    </row>
    <row r="57" spans="2:7" ht="18.75" customHeight="1">
      <c r="B57" s="1">
        <v>51</v>
      </c>
      <c r="C57" s="2">
        <v>46209</v>
      </c>
      <c r="D57" s="10" t="s">
        <v>374</v>
      </c>
      <c r="E57" s="4"/>
      <c r="F57" s="33">
        <v>1097500</v>
      </c>
      <c r="G57" s="5">
        <f t="shared" si="1"/>
        <v>180532722</v>
      </c>
    </row>
    <row r="58" spans="2:7" ht="18.75" customHeight="1">
      <c r="B58" s="1">
        <v>52</v>
      </c>
      <c r="C58" s="2">
        <v>46211</v>
      </c>
      <c r="D58" s="10" t="s">
        <v>520</v>
      </c>
      <c r="E58" s="4"/>
      <c r="F58" s="33">
        <v>1500000</v>
      </c>
      <c r="G58" s="5">
        <f t="shared" si="1"/>
        <v>179032722</v>
      </c>
    </row>
    <row r="59" spans="2:7" ht="18.75" customHeight="1">
      <c r="B59" s="1">
        <v>53</v>
      </c>
      <c r="C59" s="2">
        <v>46213</v>
      </c>
      <c r="D59" s="10" t="s">
        <v>398</v>
      </c>
      <c r="E59" s="4"/>
      <c r="F59" s="33">
        <v>1050000</v>
      </c>
      <c r="G59" s="5">
        <f t="shared" si="1"/>
        <v>177982722</v>
      </c>
    </row>
    <row r="60" spans="2:7" ht="18.75" customHeight="1">
      <c r="B60" s="1">
        <v>54</v>
      </c>
      <c r="C60" s="2">
        <v>46213</v>
      </c>
      <c r="D60" s="10" t="s">
        <v>521</v>
      </c>
      <c r="E60" s="4"/>
      <c r="F60" s="33">
        <v>12270000</v>
      </c>
      <c r="G60" s="5">
        <f t="shared" si="1"/>
        <v>165712722</v>
      </c>
    </row>
    <row r="61" spans="2:7" ht="18.75" customHeight="1">
      <c r="B61" s="1">
        <v>55</v>
      </c>
      <c r="C61" s="2">
        <v>46214</v>
      </c>
      <c r="D61" s="10" t="s">
        <v>345</v>
      </c>
      <c r="E61" s="4"/>
      <c r="F61" s="34">
        <v>7472840</v>
      </c>
      <c r="G61" s="5">
        <f t="shared" si="1"/>
        <v>158239882</v>
      </c>
    </row>
    <row r="62" spans="2:7" ht="18.75" customHeight="1">
      <c r="B62" s="1">
        <v>56</v>
      </c>
      <c r="C62" s="2">
        <v>46216</v>
      </c>
      <c r="D62" s="10" t="s">
        <v>374</v>
      </c>
      <c r="E62" s="4"/>
      <c r="F62" s="33">
        <v>910000</v>
      </c>
      <c r="G62" s="5">
        <f t="shared" si="1"/>
        <v>157329882</v>
      </c>
    </row>
    <row r="63" spans="2:7" ht="18.75" customHeight="1">
      <c r="B63" s="1">
        <v>57</v>
      </c>
      <c r="C63" s="2">
        <v>46220</v>
      </c>
      <c r="D63" s="10" t="s">
        <v>374</v>
      </c>
      <c r="E63" s="4"/>
      <c r="F63" s="33">
        <v>3499000</v>
      </c>
      <c r="G63" s="5">
        <f t="shared" si="1"/>
        <v>153830882</v>
      </c>
    </row>
    <row r="64" spans="2:7" ht="18.75" customHeight="1">
      <c r="B64" s="1">
        <v>58</v>
      </c>
      <c r="C64" s="2">
        <v>46221</v>
      </c>
      <c r="D64" s="10" t="s">
        <v>345</v>
      </c>
      <c r="E64" s="4"/>
      <c r="F64" s="34">
        <v>8872000</v>
      </c>
      <c r="G64" s="5">
        <f t="shared" si="1"/>
        <v>144958882</v>
      </c>
    </row>
    <row r="65" spans="2:7" ht="18.75" customHeight="1">
      <c r="B65" s="1">
        <v>59</v>
      </c>
      <c r="C65" s="2">
        <v>46221</v>
      </c>
      <c r="D65" s="10" t="s">
        <v>520</v>
      </c>
      <c r="E65" s="4"/>
      <c r="F65" s="33">
        <v>1000000</v>
      </c>
      <c r="G65" s="5">
        <f t="shared" si="1"/>
        <v>143958882</v>
      </c>
    </row>
    <row r="66" spans="2:7" ht="18.75" customHeight="1">
      <c r="B66" s="1">
        <v>60</v>
      </c>
      <c r="C66" s="2">
        <v>46224</v>
      </c>
      <c r="D66" s="10" t="s">
        <v>522</v>
      </c>
      <c r="E66" s="4"/>
      <c r="F66" s="33">
        <v>480000</v>
      </c>
      <c r="G66" s="5">
        <f t="shared" si="1"/>
        <v>143478882</v>
      </c>
    </row>
    <row r="67" spans="2:7" ht="18.75" customHeight="1">
      <c r="B67" s="1">
        <v>61</v>
      </c>
      <c r="C67" s="2">
        <v>46227</v>
      </c>
      <c r="D67" s="10" t="s">
        <v>374</v>
      </c>
      <c r="E67" s="4"/>
      <c r="F67" s="33">
        <v>2090000</v>
      </c>
      <c r="G67" s="5">
        <f t="shared" si="1"/>
        <v>141388882</v>
      </c>
    </row>
    <row r="68" spans="2:7" ht="18.75" customHeight="1">
      <c r="B68" s="1">
        <v>62</v>
      </c>
      <c r="C68" s="2">
        <v>46228</v>
      </c>
      <c r="D68" s="10" t="s">
        <v>345</v>
      </c>
      <c r="E68" s="4"/>
      <c r="F68" s="34">
        <v>4922700</v>
      </c>
      <c r="G68" s="5">
        <f t="shared" si="1"/>
        <v>136466182</v>
      </c>
    </row>
    <row r="69" spans="2:7" ht="18.75" customHeight="1">
      <c r="B69" s="1">
        <v>63</v>
      </c>
      <c r="C69" s="2">
        <v>46229</v>
      </c>
      <c r="D69" s="10" t="s">
        <v>523</v>
      </c>
      <c r="E69" s="4"/>
      <c r="F69" s="33">
        <v>5386500</v>
      </c>
      <c r="G69" s="5">
        <f t="shared" si="1"/>
        <v>131079682</v>
      </c>
    </row>
    <row r="70" spans="2:7" ht="18.75" customHeight="1">
      <c r="B70" s="1">
        <v>64</v>
      </c>
      <c r="C70" s="2">
        <v>46231</v>
      </c>
      <c r="D70" s="10" t="s">
        <v>374</v>
      </c>
      <c r="E70" s="4"/>
      <c r="F70" s="33">
        <v>1530000</v>
      </c>
      <c r="G70" s="5">
        <f t="shared" si="1"/>
        <v>129549682</v>
      </c>
    </row>
    <row r="71" spans="2:7" ht="18.75" customHeight="1">
      <c r="B71" s="1">
        <v>65</v>
      </c>
      <c r="C71" s="2">
        <v>46231</v>
      </c>
      <c r="D71" s="10" t="s">
        <v>479</v>
      </c>
      <c r="E71" s="4"/>
      <c r="F71" s="33">
        <v>2000000</v>
      </c>
      <c r="G71" s="5">
        <f t="shared" si="1"/>
        <v>127549682</v>
      </c>
    </row>
    <row r="72" spans="2:7" ht="18.75" customHeight="1">
      <c r="B72" s="1">
        <v>66</v>
      </c>
      <c r="C72" s="2">
        <v>46235</v>
      </c>
      <c r="D72" s="10" t="s">
        <v>345</v>
      </c>
      <c r="E72" s="4"/>
      <c r="F72" s="34">
        <v>7000000</v>
      </c>
      <c r="G72" s="5">
        <f t="shared" si="1"/>
        <v>120549682</v>
      </c>
    </row>
    <row r="73" spans="2:7" ht="18.75" customHeight="1">
      <c r="B73" s="1">
        <v>67</v>
      </c>
      <c r="C73" s="2">
        <v>46237</v>
      </c>
      <c r="D73" s="10" t="s">
        <v>374</v>
      </c>
      <c r="E73" s="4"/>
      <c r="F73" s="33">
        <v>3490000</v>
      </c>
      <c r="G73" s="5">
        <f t="shared" si="1"/>
        <v>117059682</v>
      </c>
    </row>
    <row r="74" spans="2:7" ht="18.75" customHeight="1">
      <c r="B74" s="1">
        <v>68</v>
      </c>
      <c r="C74" s="2">
        <v>46238</v>
      </c>
      <c r="D74" s="10" t="s">
        <v>524</v>
      </c>
      <c r="E74" s="4"/>
      <c r="F74" s="33">
        <v>11400000</v>
      </c>
      <c r="G74" s="5">
        <f t="shared" si="1"/>
        <v>105659682</v>
      </c>
    </row>
    <row r="75" spans="2:7" ht="18.75" customHeight="1">
      <c r="B75" s="1">
        <v>69</v>
      </c>
      <c r="C75" s="2">
        <v>46238</v>
      </c>
      <c r="D75" s="10" t="s">
        <v>524</v>
      </c>
      <c r="E75" s="4"/>
      <c r="F75" s="33">
        <v>2250000</v>
      </c>
      <c r="G75" s="5">
        <f t="shared" si="1"/>
        <v>103409682</v>
      </c>
    </row>
    <row r="76" spans="2:7" ht="18.75" customHeight="1">
      <c r="B76" s="1">
        <v>70</v>
      </c>
      <c r="C76" s="2">
        <v>46239</v>
      </c>
      <c r="D76" s="10" t="s">
        <v>398</v>
      </c>
      <c r="E76" s="4"/>
      <c r="F76" s="33">
        <v>1050000</v>
      </c>
      <c r="G76" s="5">
        <f t="shared" si="1"/>
        <v>102359682</v>
      </c>
    </row>
    <row r="77" spans="2:7" ht="18.75" customHeight="1">
      <c r="B77" s="1">
        <v>71</v>
      </c>
      <c r="C77" s="2">
        <v>46240</v>
      </c>
      <c r="D77" s="10" t="s">
        <v>374</v>
      </c>
      <c r="E77" s="4"/>
      <c r="F77" s="33">
        <v>1275000</v>
      </c>
      <c r="G77" s="5">
        <f t="shared" si="1"/>
        <v>101084682</v>
      </c>
    </row>
    <row r="78" spans="2:7" ht="18.75" customHeight="1">
      <c r="B78" s="1">
        <v>72</v>
      </c>
      <c r="C78" s="2">
        <v>46240</v>
      </c>
      <c r="D78" s="10" t="s">
        <v>525</v>
      </c>
      <c r="E78" s="4"/>
      <c r="F78" s="33">
        <v>4219000</v>
      </c>
      <c r="G78" s="5">
        <f t="shared" si="1"/>
        <v>96865682</v>
      </c>
    </row>
    <row r="79" spans="2:7" ht="18.75" customHeight="1">
      <c r="B79" s="1">
        <v>73</v>
      </c>
      <c r="C79" s="2">
        <v>46242</v>
      </c>
      <c r="D79" s="10" t="s">
        <v>345</v>
      </c>
      <c r="E79" s="4"/>
      <c r="F79" s="34">
        <v>3900000</v>
      </c>
      <c r="G79" s="5">
        <f t="shared" si="1"/>
        <v>92965682</v>
      </c>
    </row>
    <row r="80" spans="2:7" ht="18.75" customHeight="1">
      <c r="B80" s="1">
        <v>74</v>
      </c>
      <c r="C80" s="2">
        <v>46242</v>
      </c>
      <c r="D80" s="10" t="s">
        <v>519</v>
      </c>
      <c r="E80" s="4"/>
      <c r="F80" s="34">
        <v>3000000</v>
      </c>
      <c r="G80" s="5">
        <f t="shared" si="1"/>
        <v>89965682</v>
      </c>
    </row>
    <row r="81" spans="2:7" ht="18.75" customHeight="1">
      <c r="B81" s="1">
        <v>75</v>
      </c>
      <c r="C81" s="2">
        <v>46244</v>
      </c>
      <c r="D81" s="10" t="s">
        <v>526</v>
      </c>
      <c r="E81" s="4">
        <v>150000000</v>
      </c>
      <c r="F81" s="4"/>
      <c r="G81" s="5">
        <f>G80+E81</f>
        <v>239965682</v>
      </c>
    </row>
    <row r="82" spans="2:7" ht="18.75" customHeight="1">
      <c r="B82" s="1">
        <v>76</v>
      </c>
      <c r="C82" s="2">
        <v>46244</v>
      </c>
      <c r="D82" s="10" t="s">
        <v>374</v>
      </c>
      <c r="E82" s="4"/>
      <c r="F82" s="33">
        <v>799000</v>
      </c>
      <c r="G82" s="5">
        <f>G81-F82</f>
        <v>239166682</v>
      </c>
    </row>
    <row r="83" spans="2:7" ht="18.75" customHeight="1">
      <c r="B83" s="1">
        <v>77</v>
      </c>
      <c r="C83" s="2">
        <v>46245</v>
      </c>
      <c r="D83" s="10" t="s">
        <v>374</v>
      </c>
      <c r="E83" s="4"/>
      <c r="F83" s="33">
        <v>285000</v>
      </c>
      <c r="G83" s="5">
        <f t="shared" ref="G83:G118" si="2">G82-F83</f>
        <v>238881682</v>
      </c>
    </row>
    <row r="84" spans="2:7" ht="18.75" customHeight="1">
      <c r="B84" s="1">
        <v>78</v>
      </c>
      <c r="C84" s="2">
        <v>46246</v>
      </c>
      <c r="D84" s="10" t="s">
        <v>527</v>
      </c>
      <c r="E84" s="4"/>
      <c r="F84" s="33">
        <v>6500000</v>
      </c>
      <c r="G84" s="5">
        <f t="shared" si="2"/>
        <v>232381682</v>
      </c>
    </row>
    <row r="85" spans="2:7" ht="18.75" customHeight="1">
      <c r="B85" s="1">
        <v>79</v>
      </c>
      <c r="C85" s="2">
        <v>46248</v>
      </c>
      <c r="D85" s="10" t="s">
        <v>345</v>
      </c>
      <c r="E85" s="4"/>
      <c r="F85" s="34">
        <v>6448000</v>
      </c>
      <c r="G85" s="5">
        <f t="shared" si="2"/>
        <v>225933682</v>
      </c>
    </row>
    <row r="86" spans="2:7" ht="18.75" customHeight="1">
      <c r="B86" s="1">
        <v>80</v>
      </c>
      <c r="C86" s="2">
        <v>46248</v>
      </c>
      <c r="D86" s="10" t="s">
        <v>374</v>
      </c>
      <c r="E86" s="4"/>
      <c r="F86" s="33">
        <v>1195000</v>
      </c>
      <c r="G86" s="5">
        <f t="shared" si="2"/>
        <v>224738682</v>
      </c>
    </row>
    <row r="87" spans="2:7" ht="18.75" customHeight="1">
      <c r="B87" s="1">
        <v>81</v>
      </c>
      <c r="C87" s="2">
        <v>46249</v>
      </c>
      <c r="D87" s="10" t="s">
        <v>374</v>
      </c>
      <c r="E87" s="4"/>
      <c r="F87" s="33">
        <v>1195000</v>
      </c>
      <c r="G87" s="5">
        <f t="shared" si="2"/>
        <v>223543682</v>
      </c>
    </row>
    <row r="88" spans="2:7" ht="18.75" customHeight="1">
      <c r="B88" s="1">
        <v>82</v>
      </c>
      <c r="C88" s="2">
        <v>46255</v>
      </c>
      <c r="D88" s="10" t="s">
        <v>345</v>
      </c>
      <c r="E88" s="4"/>
      <c r="F88" s="34">
        <v>6200000</v>
      </c>
      <c r="G88" s="5">
        <f t="shared" si="2"/>
        <v>217343682</v>
      </c>
    </row>
    <row r="89" spans="2:7" ht="18.75" customHeight="1">
      <c r="B89" s="1">
        <v>83</v>
      </c>
      <c r="C89" s="2">
        <v>46258</v>
      </c>
      <c r="D89" s="10" t="s">
        <v>374</v>
      </c>
      <c r="E89" s="4"/>
      <c r="F89" s="33">
        <v>1707000</v>
      </c>
      <c r="G89" s="5">
        <f t="shared" si="2"/>
        <v>215636682</v>
      </c>
    </row>
    <row r="90" spans="2:7" ht="18.75" customHeight="1">
      <c r="B90" s="1">
        <v>84</v>
      </c>
      <c r="C90" s="2">
        <v>46261</v>
      </c>
      <c r="D90" s="10" t="s">
        <v>528</v>
      </c>
      <c r="E90" s="4"/>
      <c r="F90" s="33">
        <v>12871340</v>
      </c>
      <c r="G90" s="5">
        <f t="shared" si="2"/>
        <v>202765342</v>
      </c>
    </row>
    <row r="91" spans="2:7" ht="18.75" customHeight="1">
      <c r="B91" s="1">
        <v>85</v>
      </c>
      <c r="C91" s="2">
        <v>46262</v>
      </c>
      <c r="D91" s="10" t="s">
        <v>345</v>
      </c>
      <c r="E91" s="4"/>
      <c r="F91" s="34">
        <v>12600000</v>
      </c>
      <c r="G91" s="5">
        <f t="shared" si="2"/>
        <v>190165342</v>
      </c>
    </row>
    <row r="92" spans="2:7" ht="18.75" customHeight="1">
      <c r="B92" s="1">
        <v>86</v>
      </c>
      <c r="C92" s="2">
        <v>46268</v>
      </c>
      <c r="D92" s="10" t="s">
        <v>529</v>
      </c>
      <c r="E92" s="4"/>
      <c r="F92" s="33">
        <v>686045</v>
      </c>
      <c r="G92" s="5">
        <f t="shared" si="2"/>
        <v>189479297</v>
      </c>
    </row>
    <row r="93" spans="2:7" ht="18.75" customHeight="1">
      <c r="B93" s="1">
        <v>87</v>
      </c>
      <c r="C93" s="2">
        <v>46270</v>
      </c>
      <c r="D93" s="10" t="s">
        <v>345</v>
      </c>
      <c r="E93" s="4"/>
      <c r="F93" s="34">
        <v>2592000</v>
      </c>
      <c r="G93" s="5">
        <f t="shared" si="2"/>
        <v>186887297</v>
      </c>
    </row>
    <row r="94" spans="2:7" ht="18.75" customHeight="1">
      <c r="B94" s="1">
        <v>88</v>
      </c>
      <c r="C94" s="2">
        <v>46272</v>
      </c>
      <c r="D94" s="10" t="s">
        <v>340</v>
      </c>
      <c r="E94" s="4"/>
      <c r="F94" s="33">
        <v>2683000</v>
      </c>
      <c r="G94" s="5">
        <f t="shared" si="2"/>
        <v>184204297</v>
      </c>
    </row>
    <row r="95" spans="2:7" ht="18.75" customHeight="1">
      <c r="B95" s="1">
        <v>89</v>
      </c>
      <c r="C95" s="2">
        <v>46273</v>
      </c>
      <c r="D95" s="10" t="s">
        <v>530</v>
      </c>
      <c r="E95" s="4"/>
      <c r="F95" s="33">
        <v>1456000</v>
      </c>
      <c r="G95" s="5">
        <f t="shared" si="2"/>
        <v>182748297</v>
      </c>
    </row>
    <row r="96" spans="2:7" ht="18.75" customHeight="1">
      <c r="B96" s="1">
        <v>90</v>
      </c>
      <c r="C96" s="2">
        <v>46274</v>
      </c>
      <c r="D96" s="10" t="s">
        <v>398</v>
      </c>
      <c r="E96" s="4"/>
      <c r="F96" s="33">
        <v>750000</v>
      </c>
      <c r="G96" s="5">
        <f t="shared" si="2"/>
        <v>181998297</v>
      </c>
    </row>
    <row r="97" spans="2:7" ht="18.75" customHeight="1">
      <c r="B97" s="1">
        <v>91</v>
      </c>
      <c r="C97" s="2">
        <v>46274</v>
      </c>
      <c r="D97" s="10" t="s">
        <v>531</v>
      </c>
      <c r="E97" s="4"/>
      <c r="F97" s="33">
        <v>200000</v>
      </c>
      <c r="G97" s="5">
        <f t="shared" si="2"/>
        <v>181798297</v>
      </c>
    </row>
    <row r="98" spans="2:7" ht="18.75" customHeight="1">
      <c r="B98" s="1">
        <v>92</v>
      </c>
      <c r="C98" s="2">
        <v>46275</v>
      </c>
      <c r="D98" s="10" t="s">
        <v>340</v>
      </c>
      <c r="E98" s="4"/>
      <c r="F98" s="33">
        <v>230000</v>
      </c>
      <c r="G98" s="5">
        <f t="shared" si="2"/>
        <v>181568297</v>
      </c>
    </row>
    <row r="99" spans="2:7" ht="18.75" customHeight="1">
      <c r="B99" s="1">
        <v>93</v>
      </c>
      <c r="C99" s="2">
        <v>46276</v>
      </c>
      <c r="D99" s="10" t="s">
        <v>345</v>
      </c>
      <c r="E99" s="4"/>
      <c r="F99" s="34">
        <v>8410500</v>
      </c>
      <c r="G99" s="5">
        <f t="shared" si="2"/>
        <v>173157797</v>
      </c>
    </row>
    <row r="100" spans="2:7" ht="18.75" customHeight="1">
      <c r="B100" s="1">
        <v>94</v>
      </c>
      <c r="C100" s="2">
        <v>46281</v>
      </c>
      <c r="D100" s="10" t="s">
        <v>340</v>
      </c>
      <c r="E100" s="4"/>
      <c r="F100" s="33">
        <v>1660000</v>
      </c>
      <c r="G100" s="5">
        <f t="shared" si="2"/>
        <v>171497797</v>
      </c>
    </row>
    <row r="101" spans="2:7" ht="18.75" customHeight="1">
      <c r="B101" s="1">
        <v>95</v>
      </c>
      <c r="C101" s="2">
        <v>46283</v>
      </c>
      <c r="D101" s="10" t="s">
        <v>345</v>
      </c>
      <c r="E101" s="4"/>
      <c r="F101" s="34">
        <v>7645000</v>
      </c>
      <c r="G101" s="5">
        <f t="shared" si="2"/>
        <v>163852797</v>
      </c>
    </row>
    <row r="102" spans="2:7" ht="18.75" customHeight="1">
      <c r="B102" s="1">
        <v>96</v>
      </c>
      <c r="C102" s="2">
        <v>46286</v>
      </c>
      <c r="D102" s="10" t="s">
        <v>398</v>
      </c>
      <c r="E102" s="4"/>
      <c r="F102" s="33">
        <v>350000</v>
      </c>
      <c r="G102" s="5">
        <f t="shared" si="2"/>
        <v>163502797</v>
      </c>
    </row>
    <row r="103" spans="2:7" ht="18.75" customHeight="1">
      <c r="B103" s="1">
        <v>97</v>
      </c>
      <c r="C103" s="2">
        <v>46290</v>
      </c>
      <c r="D103" s="10" t="s">
        <v>340</v>
      </c>
      <c r="E103" s="4"/>
      <c r="F103" s="33">
        <v>1780000</v>
      </c>
      <c r="G103" s="5">
        <f t="shared" si="2"/>
        <v>161722797</v>
      </c>
    </row>
    <row r="104" spans="2:7" ht="18.75" customHeight="1">
      <c r="B104" s="1">
        <v>98</v>
      </c>
      <c r="C104" s="2">
        <v>46290</v>
      </c>
      <c r="D104" s="10" t="s">
        <v>340</v>
      </c>
      <c r="E104" s="4"/>
      <c r="F104" s="33">
        <v>380000</v>
      </c>
      <c r="G104" s="5">
        <f t="shared" si="2"/>
        <v>161342797</v>
      </c>
    </row>
    <row r="105" spans="2:7" ht="18.75" customHeight="1">
      <c r="B105" s="1">
        <v>99</v>
      </c>
      <c r="C105" s="2">
        <v>46290</v>
      </c>
      <c r="D105" s="10" t="s">
        <v>345</v>
      </c>
      <c r="E105" s="4"/>
      <c r="F105" s="34">
        <v>4290300</v>
      </c>
      <c r="G105" s="5">
        <f t="shared" si="2"/>
        <v>157052497</v>
      </c>
    </row>
    <row r="106" spans="2:7" ht="18.75" customHeight="1">
      <c r="B106" s="1">
        <v>100</v>
      </c>
      <c r="C106" s="2">
        <v>46290</v>
      </c>
      <c r="D106" s="10" t="s">
        <v>437</v>
      </c>
      <c r="E106" s="4"/>
      <c r="F106" s="34">
        <v>1000000</v>
      </c>
      <c r="G106" s="5">
        <f t="shared" si="2"/>
        <v>156052497</v>
      </c>
    </row>
    <row r="107" spans="2:7" ht="18.75" customHeight="1">
      <c r="B107" s="1">
        <v>101</v>
      </c>
      <c r="C107" s="2">
        <v>46294</v>
      </c>
      <c r="D107" s="10" t="s">
        <v>532</v>
      </c>
      <c r="E107" s="4"/>
      <c r="F107" s="33">
        <v>3553300</v>
      </c>
      <c r="G107" s="5">
        <f t="shared" si="2"/>
        <v>152499197</v>
      </c>
    </row>
    <row r="108" spans="2:7" ht="18.75" customHeight="1">
      <c r="B108" s="1">
        <v>102</v>
      </c>
      <c r="C108" s="2">
        <v>46297</v>
      </c>
      <c r="D108" s="10" t="s">
        <v>340</v>
      </c>
      <c r="E108" s="4"/>
      <c r="F108" s="33">
        <v>142000</v>
      </c>
      <c r="G108" s="5">
        <f t="shared" si="2"/>
        <v>152357197</v>
      </c>
    </row>
    <row r="109" spans="2:7" ht="18.75" customHeight="1">
      <c r="B109" s="1">
        <v>103</v>
      </c>
      <c r="C109" s="2">
        <v>46297</v>
      </c>
      <c r="D109" s="10" t="s">
        <v>437</v>
      </c>
      <c r="E109" s="4"/>
      <c r="F109" s="34">
        <v>4500000</v>
      </c>
      <c r="G109" s="5">
        <f t="shared" si="2"/>
        <v>147857197</v>
      </c>
    </row>
    <row r="110" spans="2:7" ht="18.75" customHeight="1">
      <c r="B110" s="1">
        <v>104</v>
      </c>
      <c r="C110" s="2">
        <v>46297</v>
      </c>
      <c r="D110" s="10" t="s">
        <v>345</v>
      </c>
      <c r="E110" s="4"/>
      <c r="F110" s="34">
        <v>6203700</v>
      </c>
      <c r="G110" s="5">
        <f t="shared" si="2"/>
        <v>141653497</v>
      </c>
    </row>
    <row r="111" spans="2:7" ht="18.75" customHeight="1">
      <c r="B111" s="1">
        <v>105</v>
      </c>
      <c r="C111" s="2">
        <v>46297</v>
      </c>
      <c r="D111" s="10" t="s">
        <v>340</v>
      </c>
      <c r="E111" s="4"/>
      <c r="F111" s="33">
        <v>964000</v>
      </c>
      <c r="G111" s="5">
        <f t="shared" si="2"/>
        <v>140689497</v>
      </c>
    </row>
    <row r="112" spans="2:7" ht="18.75" customHeight="1">
      <c r="B112" s="1">
        <v>106</v>
      </c>
      <c r="C112" s="2">
        <v>46298</v>
      </c>
      <c r="D112" s="10" t="s">
        <v>340</v>
      </c>
      <c r="E112" s="4"/>
      <c r="F112" s="33">
        <v>100000</v>
      </c>
      <c r="G112" s="5">
        <f t="shared" si="2"/>
        <v>140589497</v>
      </c>
    </row>
    <row r="113" spans="2:7" ht="18.75" customHeight="1">
      <c r="B113" s="1">
        <v>107</v>
      </c>
      <c r="C113" s="2">
        <v>46298</v>
      </c>
      <c r="D113" s="10" t="s">
        <v>533</v>
      </c>
      <c r="E113" s="4"/>
      <c r="F113" s="33">
        <v>7980000</v>
      </c>
      <c r="G113" s="5">
        <f t="shared" si="2"/>
        <v>132609497</v>
      </c>
    </row>
    <row r="114" spans="2:7" ht="18.75" customHeight="1">
      <c r="B114" s="1">
        <v>108</v>
      </c>
      <c r="C114" s="2">
        <v>46298</v>
      </c>
      <c r="D114" s="10" t="s">
        <v>398</v>
      </c>
      <c r="E114" s="4"/>
      <c r="F114" s="33">
        <v>350000</v>
      </c>
      <c r="G114" s="5">
        <f t="shared" si="2"/>
        <v>132259497</v>
      </c>
    </row>
    <row r="115" spans="2:7" ht="18.75" customHeight="1">
      <c r="B115" s="1">
        <v>109</v>
      </c>
      <c r="C115" s="2">
        <v>46301</v>
      </c>
      <c r="D115" s="10" t="s">
        <v>437</v>
      </c>
      <c r="E115" s="4"/>
      <c r="F115" s="34">
        <v>1000000</v>
      </c>
      <c r="G115" s="5">
        <f t="shared" si="2"/>
        <v>131259497</v>
      </c>
    </row>
    <row r="116" spans="2:7" ht="18.75" customHeight="1">
      <c r="B116" s="1">
        <v>110</v>
      </c>
      <c r="C116" s="2">
        <v>46302</v>
      </c>
      <c r="D116" s="10" t="s">
        <v>340</v>
      </c>
      <c r="E116" s="4"/>
      <c r="F116" s="33">
        <v>780000</v>
      </c>
      <c r="G116" s="5">
        <f t="shared" si="2"/>
        <v>130479497</v>
      </c>
    </row>
    <row r="117" spans="2:7" ht="18.75" customHeight="1">
      <c r="B117" s="1">
        <v>111</v>
      </c>
      <c r="C117" s="2">
        <v>46302</v>
      </c>
      <c r="D117" s="10" t="s">
        <v>534</v>
      </c>
      <c r="E117" s="4"/>
      <c r="F117" s="33">
        <v>445000</v>
      </c>
      <c r="G117" s="5">
        <f t="shared" si="2"/>
        <v>130034497</v>
      </c>
    </row>
    <row r="118" spans="2:7" ht="18.75" customHeight="1">
      <c r="B118" s="1">
        <v>112</v>
      </c>
      <c r="C118" s="2">
        <v>46303</v>
      </c>
      <c r="D118" s="10" t="s">
        <v>340</v>
      </c>
      <c r="E118" s="4"/>
      <c r="F118" s="33">
        <v>215000</v>
      </c>
      <c r="G118" s="5">
        <f t="shared" si="2"/>
        <v>129819497</v>
      </c>
    </row>
    <row r="119" spans="2:7" ht="18.75" customHeight="1">
      <c r="B119" s="1">
        <v>113</v>
      </c>
      <c r="C119" s="2">
        <v>46304</v>
      </c>
      <c r="D119" s="10" t="s">
        <v>345</v>
      </c>
      <c r="E119" s="4"/>
      <c r="F119" s="4">
        <v>3600800</v>
      </c>
      <c r="G119" s="5"/>
    </row>
    <row r="120" spans="2:7" ht="18.75" customHeight="1">
      <c r="B120" s="1">
        <v>114</v>
      </c>
      <c r="C120" s="2">
        <v>46304</v>
      </c>
      <c r="D120" s="10" t="s">
        <v>437</v>
      </c>
      <c r="E120" s="4"/>
      <c r="F120" s="4">
        <v>1500000</v>
      </c>
      <c r="G120" s="5"/>
    </row>
    <row r="121" spans="2:7" ht="18.75" customHeight="1">
      <c r="B121" s="1">
        <v>115</v>
      </c>
      <c r="C121" s="2">
        <v>46305</v>
      </c>
      <c r="D121" s="10" t="s">
        <v>340</v>
      </c>
      <c r="E121" s="4"/>
      <c r="F121" s="4">
        <v>1722000</v>
      </c>
      <c r="G121" s="5"/>
    </row>
    <row r="122" spans="2:7" ht="18.75" customHeight="1">
      <c r="B122" s="1"/>
      <c r="C122" s="2"/>
      <c r="D122" s="10"/>
      <c r="E122" s="4"/>
      <c r="F122" s="4"/>
      <c r="G122" s="5"/>
    </row>
    <row r="123" spans="2:7" ht="18.75" customHeight="1">
      <c r="B123" s="1"/>
      <c r="C123" s="2"/>
      <c r="D123" s="10"/>
      <c r="E123" s="4"/>
      <c r="F123" s="4"/>
      <c r="G123" s="5"/>
    </row>
    <row r="124" spans="2:7" ht="18.75" customHeight="1">
      <c r="B124" s="1"/>
      <c r="C124" s="2"/>
      <c r="D124" s="10"/>
      <c r="E124" s="4"/>
      <c r="F124" s="4"/>
      <c r="G124" s="5"/>
    </row>
    <row r="125" spans="2:7" ht="18.75" customHeight="1" thickBot="1">
      <c r="B125" s="1"/>
      <c r="C125" s="2"/>
      <c r="D125" s="10"/>
      <c r="E125" s="4"/>
      <c r="F125" s="4"/>
      <c r="G125" s="5"/>
    </row>
    <row r="126" spans="2:7" ht="18.75" customHeight="1" thickTop="1" thickBot="1">
      <c r="B126" s="66" t="s">
        <v>337</v>
      </c>
      <c r="C126" s="97"/>
      <c r="D126" s="67"/>
      <c r="E126" s="9">
        <f>SUM(E7:E125)</f>
        <v>450000000</v>
      </c>
      <c r="F126" s="9">
        <f>SUM(F7:F125)</f>
        <v>327003303</v>
      </c>
      <c r="G126" s="60">
        <f>E126-F126</f>
        <v>122996697</v>
      </c>
    </row>
    <row r="127" spans="2:7" ht="15.75" thickTop="1"/>
  </sheetData>
  <mergeCells count="5">
    <mergeCell ref="B2:G2"/>
    <mergeCell ref="B3:G3"/>
    <mergeCell ref="B4:G4"/>
    <mergeCell ref="B5:G5"/>
    <mergeCell ref="B126:D126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03CC-59EC-B842-A7A1-D16659C07626}">
  <dimension ref="B1:J47"/>
  <sheetViews>
    <sheetView topLeftCell="A19" workbookViewId="0">
      <selection activeCell="J8" sqref="J8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22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46265</v>
      </c>
      <c r="D7" s="3" t="s">
        <v>535</v>
      </c>
      <c r="E7" s="4"/>
      <c r="F7" s="38">
        <v>1100000</v>
      </c>
      <c r="G7" s="5">
        <f>-F7</f>
        <v>-1100000</v>
      </c>
      <c r="I7" s="16" t="s">
        <v>27</v>
      </c>
      <c r="J7" s="39">
        <f>SUM(F10:F15)+SUM(F18:F19,F21)+SUM(F23:F27)+SUM(F30:F32)+F34+SUM(F36:F38)+SUM(F41:F45)</f>
        <v>34348151</v>
      </c>
    </row>
    <row r="8" spans="2:10" ht="18.75" customHeight="1">
      <c r="B8" s="1">
        <v>2</v>
      </c>
      <c r="C8" s="2">
        <v>46267</v>
      </c>
      <c r="D8" s="3" t="s">
        <v>536</v>
      </c>
      <c r="E8" s="4">
        <v>58000000</v>
      </c>
      <c r="F8" s="4"/>
      <c r="G8" s="5">
        <f>G7+E8</f>
        <v>56900000</v>
      </c>
      <c r="I8" s="17" t="s">
        <v>28</v>
      </c>
      <c r="J8" s="5">
        <f>F9+SUM(F16:F17)+F20+SUM(F28:F29)+F33+F35+SUM(F39:F40)</f>
        <v>13524000</v>
      </c>
    </row>
    <row r="9" spans="2:10" ht="18.75" customHeight="1">
      <c r="B9" s="1">
        <v>3</v>
      </c>
      <c r="C9" s="2">
        <v>46272</v>
      </c>
      <c r="D9" s="3" t="s">
        <v>360</v>
      </c>
      <c r="E9" s="4"/>
      <c r="F9" s="34">
        <v>500000</v>
      </c>
      <c r="G9" s="5">
        <f>G8-F9</f>
        <v>56400000</v>
      </c>
      <c r="I9" s="18" t="s">
        <v>29</v>
      </c>
      <c r="J9" s="5"/>
    </row>
    <row r="10" spans="2:10" ht="18.75" customHeight="1" thickBot="1">
      <c r="B10" s="1">
        <v>4</v>
      </c>
      <c r="C10" s="2">
        <v>46272</v>
      </c>
      <c r="D10" s="3" t="s">
        <v>340</v>
      </c>
      <c r="E10" s="4"/>
      <c r="F10" s="33">
        <v>130000</v>
      </c>
      <c r="G10" s="5">
        <f>G9-F10</f>
        <v>56270000</v>
      </c>
      <c r="I10" s="37" t="s">
        <v>30</v>
      </c>
      <c r="J10" s="15">
        <f>F7+F22</f>
        <v>1350000</v>
      </c>
    </row>
    <row r="11" spans="2:10" ht="18.75" customHeight="1" thickTop="1">
      <c r="B11" s="1">
        <v>5</v>
      </c>
      <c r="C11" s="2">
        <v>46273</v>
      </c>
      <c r="D11" s="3" t="s">
        <v>436</v>
      </c>
      <c r="E11" s="4"/>
      <c r="F11" s="33">
        <v>1795500</v>
      </c>
      <c r="G11" s="5">
        <f>G10-F11</f>
        <v>54474500</v>
      </c>
      <c r="J11" s="35">
        <f>SUM(J7:J10)</f>
        <v>49222151</v>
      </c>
    </row>
    <row r="12" spans="2:10" ht="18.75" customHeight="1">
      <c r="B12" s="1">
        <v>6</v>
      </c>
      <c r="C12" s="2">
        <v>46273</v>
      </c>
      <c r="D12" s="3" t="s">
        <v>397</v>
      </c>
      <c r="E12" s="4"/>
      <c r="F12" s="33">
        <v>907000</v>
      </c>
      <c r="G12" s="5">
        <f>G11-F12</f>
        <v>53567500</v>
      </c>
      <c r="J12" s="35"/>
    </row>
    <row r="13" spans="2:10" ht="18.75" customHeight="1">
      <c r="B13" s="1">
        <v>7</v>
      </c>
      <c r="C13" s="2">
        <v>46273</v>
      </c>
      <c r="D13" s="3" t="s">
        <v>428</v>
      </c>
      <c r="E13" s="4"/>
      <c r="F13" s="33">
        <v>1525500</v>
      </c>
      <c r="G13" s="5">
        <f>G12-F13</f>
        <v>52042000</v>
      </c>
      <c r="I13" t="s">
        <v>437</v>
      </c>
      <c r="J13" s="35">
        <f>F16+F28</f>
        <v>4000000</v>
      </c>
    </row>
    <row r="14" spans="2:10" ht="18.75" customHeight="1">
      <c r="B14" s="1">
        <v>8</v>
      </c>
      <c r="C14" s="2">
        <v>46275</v>
      </c>
      <c r="D14" s="3" t="s">
        <v>340</v>
      </c>
      <c r="E14" s="4"/>
      <c r="F14" s="33">
        <v>300000</v>
      </c>
      <c r="G14" s="5">
        <f t="shared" ref="G14:G43" si="0">G13-F14</f>
        <v>51742000</v>
      </c>
      <c r="I14" t="s">
        <v>404</v>
      </c>
      <c r="J14" s="35">
        <f>5500000-J13</f>
        <v>1500000</v>
      </c>
    </row>
    <row r="15" spans="2:10" ht="18.75" customHeight="1">
      <c r="B15" s="1">
        <v>9</v>
      </c>
      <c r="C15" s="2">
        <v>46276</v>
      </c>
      <c r="D15" s="3" t="s">
        <v>537</v>
      </c>
      <c r="E15" s="4"/>
      <c r="F15" s="33">
        <v>840000</v>
      </c>
      <c r="G15" s="5">
        <f t="shared" si="0"/>
        <v>50902000</v>
      </c>
    </row>
    <row r="16" spans="2:10" ht="18.75" customHeight="1">
      <c r="B16" s="1">
        <v>10</v>
      </c>
      <c r="C16" s="2">
        <v>46276</v>
      </c>
      <c r="D16" s="3" t="s">
        <v>437</v>
      </c>
      <c r="E16" s="4"/>
      <c r="F16" s="34">
        <v>2500000</v>
      </c>
      <c r="G16" s="5">
        <f t="shared" si="0"/>
        <v>48402000</v>
      </c>
    </row>
    <row r="17" spans="2:7" ht="18.75" customHeight="1">
      <c r="B17" s="1">
        <v>11</v>
      </c>
      <c r="C17" s="2">
        <v>46277</v>
      </c>
      <c r="D17" s="3" t="s">
        <v>365</v>
      </c>
      <c r="E17" s="4"/>
      <c r="F17" s="34">
        <v>1770000</v>
      </c>
      <c r="G17" s="5">
        <f t="shared" si="0"/>
        <v>46632000</v>
      </c>
    </row>
    <row r="18" spans="2:7" ht="18.75" customHeight="1">
      <c r="B18" s="1">
        <v>12</v>
      </c>
      <c r="C18" s="2">
        <v>46278</v>
      </c>
      <c r="D18" s="3" t="s">
        <v>538</v>
      </c>
      <c r="E18" s="4"/>
      <c r="F18" s="33">
        <v>7107734</v>
      </c>
      <c r="G18" s="5">
        <f t="shared" si="0"/>
        <v>39524266</v>
      </c>
    </row>
    <row r="19" spans="2:7" ht="18.75" customHeight="1">
      <c r="B19" s="1">
        <v>13</v>
      </c>
      <c r="C19" s="2">
        <v>46279</v>
      </c>
      <c r="D19" s="3" t="s">
        <v>539</v>
      </c>
      <c r="E19" s="4"/>
      <c r="F19" s="33">
        <v>390000</v>
      </c>
      <c r="G19" s="5">
        <f t="shared" si="0"/>
        <v>39134266</v>
      </c>
    </row>
    <row r="20" spans="2:7" ht="18.75" customHeight="1">
      <c r="B20" s="1">
        <v>14</v>
      </c>
      <c r="C20" s="2">
        <v>46279</v>
      </c>
      <c r="D20" s="3" t="s">
        <v>360</v>
      </c>
      <c r="E20" s="4"/>
      <c r="F20" s="34">
        <v>500000</v>
      </c>
      <c r="G20" s="5">
        <f t="shared" si="0"/>
        <v>38634266</v>
      </c>
    </row>
    <row r="21" spans="2:7" ht="18.75" customHeight="1">
      <c r="B21" s="1">
        <v>15</v>
      </c>
      <c r="C21" s="2">
        <v>46279</v>
      </c>
      <c r="D21" s="3" t="s">
        <v>340</v>
      </c>
      <c r="E21" s="4"/>
      <c r="F21" s="33">
        <v>200000</v>
      </c>
      <c r="G21" s="5">
        <f t="shared" si="0"/>
        <v>38434266</v>
      </c>
    </row>
    <row r="22" spans="2:7" ht="18.75" customHeight="1">
      <c r="B22" s="1">
        <v>16</v>
      </c>
      <c r="C22" s="2">
        <v>46281</v>
      </c>
      <c r="D22" s="3" t="s">
        <v>454</v>
      </c>
      <c r="E22" s="4"/>
      <c r="F22" s="38">
        <v>250000</v>
      </c>
      <c r="G22" s="5">
        <f t="shared" si="0"/>
        <v>38184266</v>
      </c>
    </row>
    <row r="23" spans="2:7" ht="18.75" customHeight="1">
      <c r="B23" s="1">
        <v>17</v>
      </c>
      <c r="C23" s="2">
        <v>46281</v>
      </c>
      <c r="D23" s="3" t="s">
        <v>340</v>
      </c>
      <c r="E23" s="4"/>
      <c r="F23" s="33">
        <v>255000</v>
      </c>
      <c r="G23" s="5">
        <f t="shared" si="0"/>
        <v>37929266</v>
      </c>
    </row>
    <row r="24" spans="2:7" ht="18.75" customHeight="1">
      <c r="B24" s="1">
        <v>18</v>
      </c>
      <c r="C24" s="2">
        <v>46281</v>
      </c>
      <c r="D24" s="3" t="s">
        <v>428</v>
      </c>
      <c r="E24" s="4"/>
      <c r="F24" s="33">
        <v>344000</v>
      </c>
      <c r="G24" s="5">
        <f t="shared" si="0"/>
        <v>37585266</v>
      </c>
    </row>
    <row r="25" spans="2:7" ht="18.75" customHeight="1">
      <c r="B25" s="1">
        <v>19</v>
      </c>
      <c r="C25" s="2">
        <v>46281</v>
      </c>
      <c r="D25" s="3" t="s">
        <v>540</v>
      </c>
      <c r="E25" s="4"/>
      <c r="F25" s="33">
        <v>100000</v>
      </c>
      <c r="G25" s="5">
        <f t="shared" si="0"/>
        <v>37485266</v>
      </c>
    </row>
    <row r="26" spans="2:7" ht="18.75" customHeight="1">
      <c r="B26" s="1">
        <v>20</v>
      </c>
      <c r="C26" s="2">
        <v>46282</v>
      </c>
      <c r="D26" s="3" t="s">
        <v>541</v>
      </c>
      <c r="E26" s="4"/>
      <c r="F26" s="33">
        <v>915000</v>
      </c>
      <c r="G26" s="5">
        <f t="shared" si="0"/>
        <v>36570266</v>
      </c>
    </row>
    <row r="27" spans="2:7" ht="18.75" customHeight="1">
      <c r="B27" s="1">
        <v>21</v>
      </c>
      <c r="C27" s="2">
        <v>46282</v>
      </c>
      <c r="D27" s="3" t="s">
        <v>542</v>
      </c>
      <c r="E27" s="4"/>
      <c r="F27" s="33">
        <v>6415620</v>
      </c>
      <c r="G27" s="5">
        <f t="shared" si="0"/>
        <v>30154646</v>
      </c>
    </row>
    <row r="28" spans="2:7" ht="18.75" customHeight="1">
      <c r="B28" s="1">
        <v>22</v>
      </c>
      <c r="C28" s="2">
        <v>46283</v>
      </c>
      <c r="D28" s="3" t="s">
        <v>437</v>
      </c>
      <c r="E28" s="4"/>
      <c r="F28" s="34">
        <v>1500000</v>
      </c>
      <c r="G28" s="5">
        <f t="shared" si="0"/>
        <v>28654646</v>
      </c>
    </row>
    <row r="29" spans="2:7" ht="18.75" customHeight="1">
      <c r="B29" s="1">
        <v>23</v>
      </c>
      <c r="C29" s="2">
        <v>46283</v>
      </c>
      <c r="D29" s="3" t="s">
        <v>365</v>
      </c>
      <c r="E29" s="4"/>
      <c r="F29" s="34">
        <v>2236000</v>
      </c>
      <c r="G29" s="5">
        <f t="shared" si="0"/>
        <v>26418646</v>
      </c>
    </row>
    <row r="30" spans="2:7" ht="18.75" customHeight="1">
      <c r="B30" s="1">
        <v>24</v>
      </c>
      <c r="C30" s="2">
        <v>46284</v>
      </c>
      <c r="D30" s="3" t="s">
        <v>543</v>
      </c>
      <c r="E30" s="4"/>
      <c r="F30" s="33">
        <v>3350000</v>
      </c>
      <c r="G30" s="5">
        <f t="shared" si="0"/>
        <v>23068646</v>
      </c>
    </row>
    <row r="31" spans="2:7" ht="18.75" customHeight="1">
      <c r="B31" s="1">
        <v>25</v>
      </c>
      <c r="C31" s="2">
        <v>46286</v>
      </c>
      <c r="D31" s="3" t="s">
        <v>544</v>
      </c>
      <c r="E31" s="4"/>
      <c r="F31" s="33">
        <v>95000</v>
      </c>
      <c r="G31" s="5">
        <f t="shared" si="0"/>
        <v>22973646</v>
      </c>
    </row>
    <row r="32" spans="2:7" ht="18.75" customHeight="1">
      <c r="B32" s="1">
        <v>26</v>
      </c>
      <c r="C32" s="2">
        <v>46286</v>
      </c>
      <c r="D32" s="3" t="s">
        <v>340</v>
      </c>
      <c r="E32" s="4"/>
      <c r="F32" s="33">
        <v>182000</v>
      </c>
      <c r="G32" s="5">
        <f t="shared" si="0"/>
        <v>22791646</v>
      </c>
    </row>
    <row r="33" spans="2:7" ht="18.75" customHeight="1">
      <c r="B33" s="1">
        <v>27</v>
      </c>
      <c r="C33" s="2">
        <v>46287</v>
      </c>
      <c r="D33" s="3" t="s">
        <v>360</v>
      </c>
      <c r="E33" s="4"/>
      <c r="F33" s="34">
        <v>500000</v>
      </c>
      <c r="G33" s="5">
        <f t="shared" si="0"/>
        <v>22291646</v>
      </c>
    </row>
    <row r="34" spans="2:7" ht="18.75" customHeight="1">
      <c r="B34" s="1">
        <v>28</v>
      </c>
      <c r="C34" s="2">
        <v>46288</v>
      </c>
      <c r="D34" s="3" t="s">
        <v>545</v>
      </c>
      <c r="E34" s="4"/>
      <c r="F34" s="33">
        <v>583200</v>
      </c>
      <c r="G34" s="5">
        <f t="shared" si="0"/>
        <v>21708446</v>
      </c>
    </row>
    <row r="35" spans="2:7" ht="18.75" customHeight="1">
      <c r="B35" s="1">
        <v>29</v>
      </c>
      <c r="C35" s="2">
        <v>46289</v>
      </c>
      <c r="D35" s="3" t="s">
        <v>360</v>
      </c>
      <c r="E35" s="4"/>
      <c r="F35" s="34">
        <v>500000</v>
      </c>
      <c r="G35" s="5">
        <f t="shared" si="0"/>
        <v>21208446</v>
      </c>
    </row>
    <row r="36" spans="2:7" ht="18.75" customHeight="1">
      <c r="B36" s="1">
        <v>30</v>
      </c>
      <c r="C36" s="2">
        <v>46289</v>
      </c>
      <c r="D36" s="3" t="s">
        <v>340</v>
      </c>
      <c r="E36" s="4"/>
      <c r="F36" s="33">
        <v>200000</v>
      </c>
      <c r="G36" s="5">
        <f t="shared" si="0"/>
        <v>21008446</v>
      </c>
    </row>
    <row r="37" spans="2:7" ht="18.75" customHeight="1">
      <c r="B37" s="1">
        <v>31</v>
      </c>
      <c r="C37" s="2">
        <v>46289</v>
      </c>
      <c r="D37" s="3" t="s">
        <v>340</v>
      </c>
      <c r="E37" s="4"/>
      <c r="F37" s="33">
        <v>186000</v>
      </c>
      <c r="G37" s="5">
        <f t="shared" si="0"/>
        <v>20822446</v>
      </c>
    </row>
    <row r="38" spans="2:7" ht="18.75" customHeight="1">
      <c r="B38" s="1">
        <v>32</v>
      </c>
      <c r="C38" s="2">
        <v>46289</v>
      </c>
      <c r="D38" s="3" t="s">
        <v>340</v>
      </c>
      <c r="E38" s="4"/>
      <c r="F38" s="33">
        <v>75000</v>
      </c>
      <c r="G38" s="5">
        <f t="shared" si="0"/>
        <v>20747446</v>
      </c>
    </row>
    <row r="39" spans="2:7" ht="18.75" customHeight="1">
      <c r="B39" s="1">
        <v>33</v>
      </c>
      <c r="C39" s="2">
        <v>46290</v>
      </c>
      <c r="D39" s="3" t="s">
        <v>437</v>
      </c>
      <c r="E39" s="4"/>
      <c r="F39" s="34">
        <v>1500000</v>
      </c>
      <c r="G39" s="5">
        <f t="shared" si="0"/>
        <v>19247446</v>
      </c>
    </row>
    <row r="40" spans="2:7" ht="18.75" customHeight="1">
      <c r="B40" s="1">
        <v>34</v>
      </c>
      <c r="C40" s="2">
        <v>46290</v>
      </c>
      <c r="D40" s="3" t="s">
        <v>365</v>
      </c>
      <c r="E40" s="4"/>
      <c r="F40" s="34">
        <v>2018000</v>
      </c>
      <c r="G40" s="5">
        <f t="shared" si="0"/>
        <v>17229446</v>
      </c>
    </row>
    <row r="41" spans="2:7" ht="18.75" customHeight="1">
      <c r="B41" s="1">
        <v>35</v>
      </c>
      <c r="C41" s="2">
        <v>46291</v>
      </c>
      <c r="D41" s="3" t="s">
        <v>398</v>
      </c>
      <c r="E41" s="4"/>
      <c r="F41" s="33">
        <v>300000</v>
      </c>
      <c r="G41" s="5">
        <f t="shared" si="0"/>
        <v>16929446</v>
      </c>
    </row>
    <row r="42" spans="2:7" ht="18.75" customHeight="1">
      <c r="B42" s="1">
        <v>36</v>
      </c>
      <c r="C42" s="2">
        <v>46291</v>
      </c>
      <c r="D42" s="3" t="s">
        <v>546</v>
      </c>
      <c r="E42" s="4"/>
      <c r="F42" s="33">
        <v>6816597</v>
      </c>
      <c r="G42" s="5">
        <f t="shared" si="0"/>
        <v>10112849</v>
      </c>
    </row>
    <row r="43" spans="2:7" ht="18.75" customHeight="1">
      <c r="B43" s="1">
        <v>37</v>
      </c>
      <c r="C43" s="2">
        <v>46293</v>
      </c>
      <c r="D43" s="3" t="s">
        <v>547</v>
      </c>
      <c r="E43" s="4"/>
      <c r="F43" s="33">
        <v>440000</v>
      </c>
      <c r="G43" s="5">
        <f t="shared" si="0"/>
        <v>9672849</v>
      </c>
    </row>
    <row r="44" spans="2:7" ht="18.75" customHeight="1">
      <c r="B44" s="1">
        <v>38</v>
      </c>
      <c r="C44" s="2">
        <v>46294</v>
      </c>
      <c r="D44" s="3" t="s">
        <v>548</v>
      </c>
      <c r="E44" s="4"/>
      <c r="F44" s="33">
        <v>800000</v>
      </c>
      <c r="G44" s="5">
        <f>G43-F44</f>
        <v>8872849</v>
      </c>
    </row>
    <row r="45" spans="2:7" ht="18.75" customHeight="1">
      <c r="B45" s="1">
        <v>39</v>
      </c>
      <c r="C45" s="2">
        <v>46297</v>
      </c>
      <c r="D45" s="3" t="s">
        <v>369</v>
      </c>
      <c r="E45" s="4"/>
      <c r="F45" s="33">
        <v>95000</v>
      </c>
      <c r="G45" s="5">
        <f>G44-F45</f>
        <v>8777849</v>
      </c>
    </row>
    <row r="46" spans="2:7" ht="18.75" customHeight="1" thickTop="1" thickBot="1">
      <c r="B46" s="66" t="s">
        <v>337</v>
      </c>
      <c r="C46" s="97"/>
      <c r="D46" s="67"/>
      <c r="E46" s="9">
        <f>SUM(E7:E44)</f>
        <v>58000000</v>
      </c>
      <c r="F46" s="9">
        <f>SUM(F7:F45)</f>
        <v>49222151</v>
      </c>
      <c r="G46" s="60">
        <f>E46-F46</f>
        <v>8777849</v>
      </c>
    </row>
    <row r="47" spans="2:7" ht="15.75" thickTop="1">
      <c r="G47" s="55">
        <f>G46/E46</f>
        <v>0.15134222413793103</v>
      </c>
    </row>
  </sheetData>
  <mergeCells count="5">
    <mergeCell ref="B2:G2"/>
    <mergeCell ref="B3:G3"/>
    <mergeCell ref="B4:G4"/>
    <mergeCell ref="B5:G5"/>
    <mergeCell ref="B46:D46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D4FF-5794-144C-A77A-FC86C98F5603}">
  <dimension ref="B1:J86"/>
  <sheetViews>
    <sheetView topLeftCell="A72" workbookViewId="0">
      <selection activeCell="J23" sqref="J23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549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46216</v>
      </c>
      <c r="D7" s="3" t="s">
        <v>339</v>
      </c>
      <c r="E7" s="4">
        <v>41250000</v>
      </c>
      <c r="F7" s="4"/>
      <c r="G7" s="5">
        <f>E7</f>
        <v>41250000</v>
      </c>
      <c r="I7" s="16" t="s">
        <v>27</v>
      </c>
      <c r="J7" s="39">
        <f>SUM(F10:F12,F14:F20,F23,F25:F29,F31:F32,F34:F35,F37:F38,F40:F42,F44:F47,F49:F59,F61,F63:F68,F70:F72,F77:F78,F82:F83)</f>
        <v>54589797</v>
      </c>
    </row>
    <row r="8" spans="2:10" ht="18.75" customHeight="1">
      <c r="B8" s="1">
        <v>2</v>
      </c>
      <c r="C8" s="2">
        <v>46216</v>
      </c>
      <c r="D8" s="3" t="s">
        <v>341</v>
      </c>
      <c r="E8" s="4"/>
      <c r="F8" s="34">
        <v>2000000</v>
      </c>
      <c r="G8" s="5">
        <f>G7-F8</f>
        <v>39250000</v>
      </c>
      <c r="I8" s="17" t="s">
        <v>28</v>
      </c>
      <c r="J8" s="5">
        <f>F8+F13+SUM(F21:F22)+F24+F30+F33+F39+F43+F48+F60+F62+SUM(F74:F75)+SUM(F80:F81)+F84</f>
        <v>50119400</v>
      </c>
    </row>
    <row r="9" spans="2:10" ht="18.75" customHeight="1">
      <c r="B9" s="1">
        <v>3</v>
      </c>
      <c r="C9" s="2">
        <v>46216</v>
      </c>
      <c r="D9" s="3" t="s">
        <v>550</v>
      </c>
      <c r="E9" s="4"/>
      <c r="F9" s="38">
        <v>1500000</v>
      </c>
      <c r="G9" s="5">
        <f>G8-F9</f>
        <v>37750000</v>
      </c>
      <c r="I9" s="18" t="s">
        <v>29</v>
      </c>
      <c r="J9" s="5"/>
    </row>
    <row r="10" spans="2:10" ht="18.75" customHeight="1" thickBot="1">
      <c r="B10" s="1">
        <v>4</v>
      </c>
      <c r="C10" s="2">
        <v>46217</v>
      </c>
      <c r="D10" s="3" t="s">
        <v>248</v>
      </c>
      <c r="E10" s="4"/>
      <c r="F10" s="33">
        <v>58000</v>
      </c>
      <c r="G10" s="5">
        <f>G9-F10</f>
        <v>37692000</v>
      </c>
      <c r="I10" s="37" t="s">
        <v>30</v>
      </c>
      <c r="J10" s="15">
        <f>F9+F69+F73</f>
        <v>1850000</v>
      </c>
    </row>
    <row r="11" spans="2:10" ht="18.75" customHeight="1" thickTop="1">
      <c r="B11" s="1">
        <v>5</v>
      </c>
      <c r="C11" s="2">
        <v>46218</v>
      </c>
      <c r="D11" s="3" t="s">
        <v>551</v>
      </c>
      <c r="E11" s="4"/>
      <c r="F11" s="33">
        <v>1600000</v>
      </c>
      <c r="G11" s="5">
        <f t="shared" ref="G11:G74" si="0">G10-F11</f>
        <v>36092000</v>
      </c>
      <c r="J11" s="35">
        <f>SUM(J7:J10)</f>
        <v>106559197</v>
      </c>
    </row>
    <row r="12" spans="2:10" ht="18.75" customHeight="1">
      <c r="B12" s="1">
        <v>6</v>
      </c>
      <c r="C12" s="2">
        <v>46219</v>
      </c>
      <c r="D12" s="3" t="s">
        <v>374</v>
      </c>
      <c r="E12" s="4"/>
      <c r="F12" s="33">
        <v>2667500</v>
      </c>
      <c r="G12" s="5">
        <f t="shared" si="0"/>
        <v>33424500</v>
      </c>
      <c r="J12" s="35"/>
    </row>
    <row r="13" spans="2:10" ht="18.75" customHeight="1">
      <c r="B13" s="1">
        <v>7</v>
      </c>
      <c r="C13" s="2">
        <v>46221</v>
      </c>
      <c r="D13" s="3" t="s">
        <v>345</v>
      </c>
      <c r="E13" s="4"/>
      <c r="F13" s="34">
        <f>561950+1180000+200000</f>
        <v>1941950</v>
      </c>
      <c r="G13" s="5">
        <f t="shared" si="0"/>
        <v>31482550</v>
      </c>
      <c r="I13" t="s">
        <v>437</v>
      </c>
      <c r="J13" s="35">
        <f>F60+F74</f>
        <v>5000000</v>
      </c>
    </row>
    <row r="14" spans="2:10" ht="18.75" customHeight="1">
      <c r="B14" s="1">
        <v>8</v>
      </c>
      <c r="C14" s="2">
        <v>46221</v>
      </c>
      <c r="D14" s="3" t="s">
        <v>374</v>
      </c>
      <c r="E14" s="4"/>
      <c r="F14" s="33">
        <v>681500</v>
      </c>
      <c r="G14" s="5">
        <f t="shared" si="0"/>
        <v>30801050</v>
      </c>
      <c r="I14" t="s">
        <v>404</v>
      </c>
      <c r="J14" s="35">
        <f>5000000-J13</f>
        <v>0</v>
      </c>
    </row>
    <row r="15" spans="2:10" ht="18.75" customHeight="1">
      <c r="B15" s="1">
        <v>9</v>
      </c>
      <c r="C15" s="2">
        <v>46221</v>
      </c>
      <c r="D15" s="3" t="s">
        <v>552</v>
      </c>
      <c r="E15" s="4"/>
      <c r="F15" s="33">
        <v>1050000</v>
      </c>
      <c r="G15" s="5">
        <f t="shared" si="0"/>
        <v>29751050</v>
      </c>
      <c r="J15" s="35"/>
    </row>
    <row r="16" spans="2:10" ht="18.75" customHeight="1">
      <c r="B16" s="1">
        <v>10</v>
      </c>
      <c r="C16" s="2">
        <v>46223</v>
      </c>
      <c r="D16" s="3" t="s">
        <v>374</v>
      </c>
      <c r="E16" s="4"/>
      <c r="F16" s="33">
        <v>1630000</v>
      </c>
      <c r="G16" s="5">
        <f t="shared" si="0"/>
        <v>28121050</v>
      </c>
      <c r="J16" s="35"/>
    </row>
    <row r="17" spans="2:7" ht="18.75" customHeight="1">
      <c r="B17" s="1">
        <v>11</v>
      </c>
      <c r="C17" s="2">
        <v>46223</v>
      </c>
      <c r="D17" s="3" t="s">
        <v>434</v>
      </c>
      <c r="E17" s="4"/>
      <c r="F17" s="33">
        <v>190000</v>
      </c>
      <c r="G17" s="5">
        <f t="shared" si="0"/>
        <v>27931050</v>
      </c>
    </row>
    <row r="18" spans="2:7" ht="18.75" customHeight="1">
      <c r="B18" s="1">
        <v>12</v>
      </c>
      <c r="C18" s="2">
        <v>46224</v>
      </c>
      <c r="D18" s="3" t="s">
        <v>374</v>
      </c>
      <c r="E18" s="4"/>
      <c r="F18" s="33">
        <v>926500</v>
      </c>
      <c r="G18" s="5">
        <f t="shared" si="0"/>
        <v>27004550</v>
      </c>
    </row>
    <row r="19" spans="2:7" ht="18.75" customHeight="1">
      <c r="B19" s="1">
        <v>13</v>
      </c>
      <c r="C19" s="2">
        <v>46226</v>
      </c>
      <c r="D19" s="3" t="s">
        <v>374</v>
      </c>
      <c r="E19" s="4"/>
      <c r="F19" s="33">
        <v>1034500</v>
      </c>
      <c r="G19" s="5">
        <f t="shared" si="0"/>
        <v>25970050</v>
      </c>
    </row>
    <row r="20" spans="2:7" ht="18.75" customHeight="1">
      <c r="B20" s="1">
        <v>14</v>
      </c>
      <c r="C20" s="2">
        <v>46228</v>
      </c>
      <c r="D20" s="3" t="s">
        <v>374</v>
      </c>
      <c r="E20" s="4"/>
      <c r="F20" s="33">
        <v>1172000</v>
      </c>
      <c r="G20" s="5">
        <f t="shared" si="0"/>
        <v>24798050</v>
      </c>
    </row>
    <row r="21" spans="2:7" ht="18.75" customHeight="1">
      <c r="B21" s="1">
        <v>15</v>
      </c>
      <c r="C21" s="2">
        <v>46228</v>
      </c>
      <c r="D21" s="3" t="s">
        <v>345</v>
      </c>
      <c r="E21" s="4"/>
      <c r="F21" s="34">
        <v>4377450</v>
      </c>
      <c r="G21" s="5">
        <f t="shared" si="0"/>
        <v>20420600</v>
      </c>
    </row>
    <row r="22" spans="2:7" ht="18.75" customHeight="1">
      <c r="B22" s="1">
        <v>16</v>
      </c>
      <c r="C22" s="2">
        <v>46230</v>
      </c>
      <c r="D22" s="3" t="s">
        <v>553</v>
      </c>
      <c r="E22" s="4"/>
      <c r="F22" s="34">
        <v>1000000</v>
      </c>
      <c r="G22" s="5">
        <f t="shared" si="0"/>
        <v>19420600</v>
      </c>
    </row>
    <row r="23" spans="2:7" ht="18.75" customHeight="1">
      <c r="B23" s="1">
        <v>17</v>
      </c>
      <c r="C23" s="2">
        <v>46234</v>
      </c>
      <c r="D23" s="3" t="s">
        <v>374</v>
      </c>
      <c r="E23" s="4"/>
      <c r="F23" s="33">
        <v>1187000</v>
      </c>
      <c r="G23" s="5">
        <f t="shared" si="0"/>
        <v>18233600</v>
      </c>
    </row>
    <row r="24" spans="2:7" ht="18.75" customHeight="1">
      <c r="B24" s="1">
        <v>18</v>
      </c>
      <c r="C24" s="2">
        <v>46235</v>
      </c>
      <c r="D24" s="3" t="s">
        <v>345</v>
      </c>
      <c r="E24" s="4"/>
      <c r="F24" s="34">
        <v>5300000</v>
      </c>
      <c r="G24" s="5">
        <f t="shared" si="0"/>
        <v>12933600</v>
      </c>
    </row>
    <row r="25" spans="2:7" ht="18.75" customHeight="1">
      <c r="B25" s="1">
        <v>19</v>
      </c>
      <c r="C25" s="2">
        <v>46237</v>
      </c>
      <c r="D25" s="3" t="s">
        <v>374</v>
      </c>
      <c r="E25" s="4"/>
      <c r="F25" s="33">
        <v>657000</v>
      </c>
      <c r="G25" s="5">
        <f t="shared" si="0"/>
        <v>12276600</v>
      </c>
    </row>
    <row r="26" spans="2:7" ht="18.75" customHeight="1">
      <c r="B26" s="1">
        <v>20</v>
      </c>
      <c r="C26" s="2">
        <v>46238</v>
      </c>
      <c r="D26" s="3" t="s">
        <v>554</v>
      </c>
      <c r="E26" s="4"/>
      <c r="F26" s="33">
        <v>990000</v>
      </c>
      <c r="G26" s="5">
        <f t="shared" si="0"/>
        <v>11286600</v>
      </c>
    </row>
    <row r="27" spans="2:7" ht="18.75" customHeight="1">
      <c r="B27" s="1">
        <v>21</v>
      </c>
      <c r="C27" s="2">
        <v>46241</v>
      </c>
      <c r="D27" s="3" t="s">
        <v>555</v>
      </c>
      <c r="E27" s="4"/>
      <c r="F27" s="33">
        <v>3013000</v>
      </c>
      <c r="G27" s="5">
        <f t="shared" si="0"/>
        <v>8273600</v>
      </c>
    </row>
    <row r="28" spans="2:7" ht="18.75" customHeight="1">
      <c r="B28" s="1">
        <v>22</v>
      </c>
      <c r="C28" s="2">
        <v>46242</v>
      </c>
      <c r="D28" s="3" t="s">
        <v>374</v>
      </c>
      <c r="E28" s="4"/>
      <c r="F28" s="33">
        <v>1620000</v>
      </c>
      <c r="G28" s="5">
        <f t="shared" si="0"/>
        <v>6653600</v>
      </c>
    </row>
    <row r="29" spans="2:7" ht="18.75" customHeight="1">
      <c r="B29" s="1">
        <v>23</v>
      </c>
      <c r="C29" s="2">
        <v>46242</v>
      </c>
      <c r="D29" s="3" t="s">
        <v>556</v>
      </c>
      <c r="E29" s="4"/>
      <c r="F29" s="33">
        <v>1270000</v>
      </c>
      <c r="G29" s="5">
        <f t="shared" si="0"/>
        <v>5383600</v>
      </c>
    </row>
    <row r="30" spans="2:7" ht="18.75" customHeight="1">
      <c r="B30" s="1">
        <v>24</v>
      </c>
      <c r="C30" s="2">
        <v>46242</v>
      </c>
      <c r="D30" s="3" t="s">
        <v>345</v>
      </c>
      <c r="E30" s="4"/>
      <c r="F30" s="34">
        <v>5879000</v>
      </c>
      <c r="G30" s="5">
        <f t="shared" si="0"/>
        <v>-495400</v>
      </c>
    </row>
    <row r="31" spans="2:7" ht="18.75" customHeight="1">
      <c r="B31" s="1">
        <v>25</v>
      </c>
      <c r="C31" s="2">
        <v>46242</v>
      </c>
      <c r="D31" s="3" t="s">
        <v>415</v>
      </c>
      <c r="E31" s="4"/>
      <c r="F31" s="33">
        <v>3727500</v>
      </c>
      <c r="G31" s="5">
        <f t="shared" si="0"/>
        <v>-4222900</v>
      </c>
    </row>
    <row r="32" spans="2:7" ht="18.75" customHeight="1">
      <c r="B32" s="1">
        <v>26</v>
      </c>
      <c r="C32" s="2">
        <v>46244</v>
      </c>
      <c r="D32" s="3" t="s">
        <v>557</v>
      </c>
      <c r="E32" s="4"/>
      <c r="F32" s="33">
        <v>2502500</v>
      </c>
      <c r="G32" s="5">
        <f t="shared" si="0"/>
        <v>-6725400</v>
      </c>
    </row>
    <row r="33" spans="2:7" ht="18.75" customHeight="1">
      <c r="B33" s="1">
        <v>27</v>
      </c>
      <c r="C33" s="2">
        <v>46248</v>
      </c>
      <c r="D33" s="3" t="s">
        <v>345</v>
      </c>
      <c r="E33" s="4"/>
      <c r="F33" s="34">
        <v>4255000</v>
      </c>
      <c r="G33" s="5">
        <f t="shared" si="0"/>
        <v>-10980400</v>
      </c>
    </row>
    <row r="34" spans="2:7" ht="18.75" customHeight="1">
      <c r="B34" s="1">
        <v>28</v>
      </c>
      <c r="C34" s="2">
        <v>46248</v>
      </c>
      <c r="D34" s="3" t="s">
        <v>558</v>
      </c>
      <c r="E34" s="4"/>
      <c r="F34" s="33">
        <v>2230494</v>
      </c>
      <c r="G34" s="5">
        <f t="shared" si="0"/>
        <v>-13210894</v>
      </c>
    </row>
    <row r="35" spans="2:7" ht="18.75" customHeight="1">
      <c r="B35" s="1">
        <v>29</v>
      </c>
      <c r="C35" s="2">
        <v>46248</v>
      </c>
      <c r="D35" s="3" t="s">
        <v>559</v>
      </c>
      <c r="E35" s="4"/>
      <c r="F35" s="33">
        <v>2002500</v>
      </c>
      <c r="G35" s="5">
        <f t="shared" si="0"/>
        <v>-15213394</v>
      </c>
    </row>
    <row r="36" spans="2:7" ht="18.75" customHeight="1">
      <c r="B36" s="1">
        <v>30</v>
      </c>
      <c r="C36" s="2">
        <v>46248</v>
      </c>
      <c r="D36" s="3" t="s">
        <v>560</v>
      </c>
      <c r="E36" s="4">
        <v>20625000</v>
      </c>
      <c r="F36" s="4"/>
      <c r="G36" s="5">
        <f>G35+E36</f>
        <v>5411606</v>
      </c>
    </row>
    <row r="37" spans="2:7" ht="18.75" customHeight="1">
      <c r="B37" s="1">
        <v>31</v>
      </c>
      <c r="C37" s="2">
        <v>46249</v>
      </c>
      <c r="D37" s="3" t="s">
        <v>374</v>
      </c>
      <c r="E37" s="4"/>
      <c r="F37" s="33">
        <v>1325000</v>
      </c>
      <c r="G37" s="5">
        <f t="shared" si="0"/>
        <v>4086606</v>
      </c>
    </row>
    <row r="38" spans="2:7" ht="18.75" customHeight="1">
      <c r="B38" s="1">
        <v>32</v>
      </c>
      <c r="C38" s="2">
        <v>46249</v>
      </c>
      <c r="D38" s="3" t="s">
        <v>524</v>
      </c>
      <c r="E38" s="4"/>
      <c r="F38" s="33">
        <v>115000</v>
      </c>
      <c r="G38" s="5">
        <f t="shared" si="0"/>
        <v>3971606</v>
      </c>
    </row>
    <row r="39" spans="2:7" ht="18.75" customHeight="1">
      <c r="B39" s="1">
        <v>33</v>
      </c>
      <c r="C39" s="2">
        <v>46249</v>
      </c>
      <c r="D39" s="3" t="s">
        <v>553</v>
      </c>
      <c r="E39" s="4"/>
      <c r="F39" s="34">
        <v>2000000</v>
      </c>
      <c r="G39" s="5">
        <f t="shared" si="0"/>
        <v>1971606</v>
      </c>
    </row>
    <row r="40" spans="2:7" ht="18.75" customHeight="1">
      <c r="B40" s="1">
        <v>34</v>
      </c>
      <c r="C40" s="2">
        <v>46250</v>
      </c>
      <c r="D40" s="3" t="s">
        <v>475</v>
      </c>
      <c r="E40" s="4"/>
      <c r="F40" s="33">
        <v>1855000</v>
      </c>
      <c r="G40" s="5">
        <f t="shared" si="0"/>
        <v>116606</v>
      </c>
    </row>
    <row r="41" spans="2:7" ht="18.75" customHeight="1">
      <c r="B41" s="1">
        <v>35</v>
      </c>
      <c r="C41" s="2">
        <v>46253</v>
      </c>
      <c r="D41" s="3" t="s">
        <v>374</v>
      </c>
      <c r="E41" s="4"/>
      <c r="F41" s="33">
        <v>1493000</v>
      </c>
      <c r="G41" s="5">
        <f t="shared" si="0"/>
        <v>-1376394</v>
      </c>
    </row>
    <row r="42" spans="2:7" ht="18.75" customHeight="1">
      <c r="B42" s="1">
        <v>36</v>
      </c>
      <c r="C42" s="2">
        <v>46253</v>
      </c>
      <c r="D42" s="3" t="s">
        <v>374</v>
      </c>
      <c r="E42" s="4"/>
      <c r="F42" s="33">
        <v>596000</v>
      </c>
      <c r="G42" s="5">
        <f t="shared" si="0"/>
        <v>-1972394</v>
      </c>
    </row>
    <row r="43" spans="2:7" ht="18.75" customHeight="1">
      <c r="B43" s="1">
        <v>37</v>
      </c>
      <c r="C43" s="2">
        <v>46255</v>
      </c>
      <c r="D43" s="3" t="s">
        <v>345</v>
      </c>
      <c r="E43" s="4"/>
      <c r="F43" s="34">
        <v>7300000</v>
      </c>
      <c r="G43" s="5">
        <f t="shared" si="0"/>
        <v>-9272394</v>
      </c>
    </row>
    <row r="44" spans="2:7" ht="18.75" customHeight="1">
      <c r="B44" s="1">
        <v>38</v>
      </c>
      <c r="C44" s="2">
        <v>46256</v>
      </c>
      <c r="D44" s="3" t="s">
        <v>374</v>
      </c>
      <c r="E44" s="4"/>
      <c r="F44" s="33">
        <v>908000</v>
      </c>
      <c r="G44" s="5">
        <f t="shared" si="0"/>
        <v>-10180394</v>
      </c>
    </row>
    <row r="45" spans="2:7" ht="18.75" customHeight="1">
      <c r="B45" s="1">
        <v>39</v>
      </c>
      <c r="C45" s="2">
        <v>46258</v>
      </c>
      <c r="D45" s="3" t="s">
        <v>374</v>
      </c>
      <c r="E45" s="4"/>
      <c r="F45" s="33">
        <v>360000</v>
      </c>
      <c r="G45" s="5">
        <f t="shared" si="0"/>
        <v>-10540394</v>
      </c>
    </row>
    <row r="46" spans="2:7" ht="18.75" customHeight="1">
      <c r="B46" s="1">
        <v>40</v>
      </c>
      <c r="C46" s="2">
        <v>46260</v>
      </c>
      <c r="D46" s="3" t="s">
        <v>443</v>
      </c>
      <c r="E46" s="4"/>
      <c r="F46" s="33">
        <v>1180000</v>
      </c>
      <c r="G46" s="5">
        <f t="shared" si="0"/>
        <v>-11720394</v>
      </c>
    </row>
    <row r="47" spans="2:7" ht="18.75" customHeight="1">
      <c r="B47" s="1">
        <v>41</v>
      </c>
      <c r="C47" s="2">
        <v>46261</v>
      </c>
      <c r="D47" s="3" t="s">
        <v>561</v>
      </c>
      <c r="E47" s="4"/>
      <c r="F47" s="33">
        <v>806500</v>
      </c>
      <c r="G47" s="5">
        <f t="shared" si="0"/>
        <v>-12526894</v>
      </c>
    </row>
    <row r="48" spans="2:7" ht="18.75" customHeight="1">
      <c r="B48" s="1">
        <v>42</v>
      </c>
      <c r="C48" s="2">
        <v>46262</v>
      </c>
      <c r="D48" s="3" t="s">
        <v>345</v>
      </c>
      <c r="E48" s="4"/>
      <c r="F48" s="34">
        <v>5500000</v>
      </c>
      <c r="G48" s="5">
        <f t="shared" si="0"/>
        <v>-18026894</v>
      </c>
    </row>
    <row r="49" spans="2:7" ht="18.75" customHeight="1">
      <c r="B49" s="1">
        <v>43</v>
      </c>
      <c r="C49" s="2">
        <v>46262</v>
      </c>
      <c r="D49" s="3" t="s">
        <v>562</v>
      </c>
      <c r="E49" s="4"/>
      <c r="F49" s="33">
        <v>1639852</v>
      </c>
      <c r="G49" s="5">
        <f t="shared" si="0"/>
        <v>-19666746</v>
      </c>
    </row>
    <row r="50" spans="2:7" ht="18.75" customHeight="1">
      <c r="B50" s="1">
        <v>44</v>
      </c>
      <c r="C50" s="2">
        <v>46262</v>
      </c>
      <c r="D50" s="3" t="s">
        <v>340</v>
      </c>
      <c r="E50" s="4"/>
      <c r="F50" s="33">
        <v>691000</v>
      </c>
      <c r="G50" s="5">
        <f t="shared" si="0"/>
        <v>-20357746</v>
      </c>
    </row>
    <row r="51" spans="2:7" ht="18.75" customHeight="1">
      <c r="B51" s="1">
        <v>45</v>
      </c>
      <c r="C51" s="2">
        <v>46262</v>
      </c>
      <c r="D51" s="3" t="s">
        <v>563</v>
      </c>
      <c r="E51" s="4"/>
      <c r="F51" s="33">
        <v>333344</v>
      </c>
      <c r="G51" s="5">
        <f t="shared" si="0"/>
        <v>-20691090</v>
      </c>
    </row>
    <row r="52" spans="2:7" ht="18.75" customHeight="1">
      <c r="B52" s="1">
        <v>46</v>
      </c>
      <c r="C52" s="2">
        <v>46262</v>
      </c>
      <c r="D52" s="3" t="s">
        <v>564</v>
      </c>
      <c r="E52" s="4"/>
      <c r="F52" s="33">
        <v>1826000</v>
      </c>
      <c r="G52" s="5">
        <f t="shared" si="0"/>
        <v>-22517090</v>
      </c>
    </row>
    <row r="53" spans="2:7" ht="18.75" customHeight="1">
      <c r="B53" s="1">
        <v>47</v>
      </c>
      <c r="C53" s="2">
        <v>46266</v>
      </c>
      <c r="D53" s="3" t="s">
        <v>565</v>
      </c>
      <c r="E53" s="4"/>
      <c r="F53" s="33">
        <v>380000</v>
      </c>
      <c r="G53" s="5">
        <f t="shared" si="0"/>
        <v>-22897090</v>
      </c>
    </row>
    <row r="54" spans="2:7" ht="18.75" customHeight="1">
      <c r="B54" s="1">
        <v>48</v>
      </c>
      <c r="C54" s="2">
        <v>46266</v>
      </c>
      <c r="D54" s="3" t="s">
        <v>520</v>
      </c>
      <c r="E54" s="4"/>
      <c r="F54" s="33">
        <v>900000</v>
      </c>
      <c r="G54" s="5">
        <f t="shared" si="0"/>
        <v>-23797090</v>
      </c>
    </row>
    <row r="55" spans="2:7" ht="18.75" customHeight="1">
      <c r="B55" s="1">
        <v>49</v>
      </c>
      <c r="C55" s="2">
        <v>46267</v>
      </c>
      <c r="D55" s="3" t="s">
        <v>566</v>
      </c>
      <c r="E55" s="4"/>
      <c r="F55" s="33">
        <v>293852</v>
      </c>
      <c r="G55" s="5">
        <f t="shared" si="0"/>
        <v>-24090942</v>
      </c>
    </row>
    <row r="56" spans="2:7" ht="18.75" customHeight="1">
      <c r="B56" s="1">
        <v>50</v>
      </c>
      <c r="C56" s="2">
        <v>46268</v>
      </c>
      <c r="D56" s="3" t="s">
        <v>567</v>
      </c>
      <c r="E56" s="4"/>
      <c r="F56" s="33">
        <v>842500</v>
      </c>
      <c r="G56" s="5">
        <f t="shared" si="0"/>
        <v>-24933442</v>
      </c>
    </row>
    <row r="57" spans="2:7" ht="18.75" customHeight="1">
      <c r="B57" s="1">
        <v>51</v>
      </c>
      <c r="C57" s="2">
        <v>46268</v>
      </c>
      <c r="D57" s="3" t="s">
        <v>568</v>
      </c>
      <c r="E57" s="4"/>
      <c r="F57" s="33">
        <v>705000</v>
      </c>
      <c r="G57" s="5">
        <f t="shared" si="0"/>
        <v>-25638442</v>
      </c>
    </row>
    <row r="58" spans="2:7" ht="18.75" customHeight="1">
      <c r="B58" s="1">
        <v>52</v>
      </c>
      <c r="C58" s="2">
        <v>46269</v>
      </c>
      <c r="D58" s="3" t="s">
        <v>569</v>
      </c>
      <c r="E58" s="4"/>
      <c r="F58" s="33">
        <v>320000</v>
      </c>
      <c r="G58" s="5">
        <f t="shared" si="0"/>
        <v>-25958442</v>
      </c>
    </row>
    <row r="59" spans="2:7" ht="18.75" customHeight="1">
      <c r="B59" s="1">
        <v>53</v>
      </c>
      <c r="C59" s="2">
        <v>46269</v>
      </c>
      <c r="D59" s="3" t="s">
        <v>570</v>
      </c>
      <c r="E59" s="4"/>
      <c r="F59" s="33">
        <v>46195</v>
      </c>
      <c r="G59" s="5">
        <f t="shared" si="0"/>
        <v>-26004637</v>
      </c>
    </row>
    <row r="60" spans="2:7" ht="18.75" customHeight="1">
      <c r="B60" s="1">
        <v>54</v>
      </c>
      <c r="C60" s="2">
        <v>46270</v>
      </c>
      <c r="D60" s="3" t="s">
        <v>437</v>
      </c>
      <c r="E60" s="4"/>
      <c r="F60" s="34">
        <v>2500000</v>
      </c>
      <c r="G60" s="5">
        <f t="shared" si="0"/>
        <v>-28504637</v>
      </c>
    </row>
    <row r="61" spans="2:7" ht="18.75" customHeight="1">
      <c r="B61" s="1">
        <v>55</v>
      </c>
      <c r="C61" s="2">
        <v>46270</v>
      </c>
      <c r="D61" s="3" t="s">
        <v>340</v>
      </c>
      <c r="E61" s="4"/>
      <c r="F61" s="33">
        <v>530000</v>
      </c>
      <c r="G61" s="5">
        <f t="shared" si="0"/>
        <v>-29034637</v>
      </c>
    </row>
    <row r="62" spans="2:7" ht="18.75" customHeight="1">
      <c r="B62" s="1">
        <v>56</v>
      </c>
      <c r="C62" s="2">
        <v>46270</v>
      </c>
      <c r="D62" s="3" t="s">
        <v>345</v>
      </c>
      <c r="E62" s="4"/>
      <c r="F62" s="34">
        <v>1066000</v>
      </c>
      <c r="G62" s="5">
        <f t="shared" si="0"/>
        <v>-30100637</v>
      </c>
    </row>
    <row r="63" spans="2:7" ht="18.75" customHeight="1">
      <c r="B63" s="1">
        <v>57</v>
      </c>
      <c r="C63" s="2">
        <v>46270</v>
      </c>
      <c r="D63" s="3" t="s">
        <v>571</v>
      </c>
      <c r="E63" s="4"/>
      <c r="F63" s="33">
        <v>1002500</v>
      </c>
      <c r="G63" s="5">
        <f t="shared" si="0"/>
        <v>-31103137</v>
      </c>
    </row>
    <row r="64" spans="2:7" ht="18.75" customHeight="1">
      <c r="B64" s="1">
        <v>58</v>
      </c>
      <c r="C64" s="2">
        <v>46270</v>
      </c>
      <c r="D64" s="3" t="s">
        <v>572</v>
      </c>
      <c r="E64" s="4"/>
      <c r="F64" s="33">
        <v>763000</v>
      </c>
      <c r="G64" s="5">
        <f t="shared" si="0"/>
        <v>-31866137</v>
      </c>
    </row>
    <row r="65" spans="2:7" ht="18.75" customHeight="1">
      <c r="B65" s="1">
        <v>59</v>
      </c>
      <c r="C65" s="2">
        <v>46271</v>
      </c>
      <c r="D65" s="3" t="s">
        <v>572</v>
      </c>
      <c r="E65" s="4"/>
      <c r="F65" s="33">
        <v>160000</v>
      </c>
      <c r="G65" s="5">
        <f t="shared" si="0"/>
        <v>-32026137</v>
      </c>
    </row>
    <row r="66" spans="2:7" ht="18.75" customHeight="1">
      <c r="B66" s="1">
        <v>60</v>
      </c>
      <c r="C66" s="2">
        <v>46271</v>
      </c>
      <c r="D66" s="3" t="s">
        <v>573</v>
      </c>
      <c r="E66" s="4"/>
      <c r="F66" s="33">
        <v>414000</v>
      </c>
      <c r="G66" s="5">
        <f t="shared" si="0"/>
        <v>-32440137</v>
      </c>
    </row>
    <row r="67" spans="2:7" ht="18.75" customHeight="1">
      <c r="B67" s="1">
        <v>61</v>
      </c>
      <c r="C67" s="2">
        <v>46271</v>
      </c>
      <c r="D67" s="3" t="s">
        <v>340</v>
      </c>
      <c r="E67" s="4"/>
      <c r="F67" s="33">
        <v>120000</v>
      </c>
      <c r="G67" s="5">
        <f t="shared" si="0"/>
        <v>-32560137</v>
      </c>
    </row>
    <row r="68" spans="2:7" ht="18.75" customHeight="1">
      <c r="B68" s="1">
        <v>62</v>
      </c>
      <c r="C68" s="2">
        <v>46271</v>
      </c>
      <c r="D68" s="3" t="s">
        <v>570</v>
      </c>
      <c r="E68" s="4"/>
      <c r="F68" s="33">
        <v>25000</v>
      </c>
      <c r="G68" s="5">
        <f t="shared" si="0"/>
        <v>-32585137</v>
      </c>
    </row>
    <row r="69" spans="2:7" ht="18.75" customHeight="1">
      <c r="B69" s="1">
        <v>63</v>
      </c>
      <c r="C69" s="2">
        <v>46271</v>
      </c>
      <c r="D69" s="3" t="s">
        <v>422</v>
      </c>
      <c r="E69" s="4"/>
      <c r="F69" s="38">
        <v>200000</v>
      </c>
      <c r="G69" s="5">
        <f t="shared" si="0"/>
        <v>-32785137</v>
      </c>
    </row>
    <row r="70" spans="2:7" ht="18.75" customHeight="1">
      <c r="B70" s="1">
        <v>64</v>
      </c>
      <c r="C70" s="2">
        <v>46274</v>
      </c>
      <c r="D70" s="3" t="s">
        <v>574</v>
      </c>
      <c r="E70" s="4"/>
      <c r="F70" s="33">
        <v>502500</v>
      </c>
      <c r="G70" s="5">
        <f t="shared" si="0"/>
        <v>-33287637</v>
      </c>
    </row>
    <row r="71" spans="2:7" ht="18.75" customHeight="1">
      <c r="B71" s="1">
        <v>65</v>
      </c>
      <c r="C71" s="2">
        <v>46274</v>
      </c>
      <c r="D71" s="3" t="s">
        <v>575</v>
      </c>
      <c r="E71" s="4"/>
      <c r="F71" s="33">
        <v>213000</v>
      </c>
      <c r="G71" s="5">
        <f t="shared" si="0"/>
        <v>-33500637</v>
      </c>
    </row>
    <row r="72" spans="2:7" ht="18.75" customHeight="1">
      <c r="B72" s="1">
        <v>67</v>
      </c>
      <c r="C72" s="2">
        <v>46275</v>
      </c>
      <c r="D72" s="3" t="s">
        <v>576</v>
      </c>
      <c r="E72" s="4"/>
      <c r="F72" s="33">
        <v>2667296</v>
      </c>
      <c r="G72" s="5">
        <f t="shared" si="0"/>
        <v>-36167933</v>
      </c>
    </row>
    <row r="73" spans="2:7" ht="18.75" customHeight="1">
      <c r="B73" s="1">
        <v>68</v>
      </c>
      <c r="C73" s="2">
        <v>46276</v>
      </c>
      <c r="D73" s="3" t="s">
        <v>577</v>
      </c>
      <c r="E73" s="4"/>
      <c r="F73" s="38">
        <v>150000</v>
      </c>
      <c r="G73" s="5">
        <f t="shared" si="0"/>
        <v>-36317933</v>
      </c>
    </row>
    <row r="74" spans="2:7" ht="18.75" customHeight="1">
      <c r="B74" s="1">
        <v>69</v>
      </c>
      <c r="C74" s="2">
        <v>46276</v>
      </c>
      <c r="D74" s="3" t="s">
        <v>437</v>
      </c>
      <c r="E74" s="4"/>
      <c r="F74" s="34">
        <v>2500000</v>
      </c>
      <c r="G74" s="5">
        <f t="shared" si="0"/>
        <v>-38817933</v>
      </c>
    </row>
    <row r="75" spans="2:7" ht="18.75" customHeight="1">
      <c r="B75" s="1">
        <v>70</v>
      </c>
      <c r="C75" s="2">
        <v>46277</v>
      </c>
      <c r="D75" s="3" t="s">
        <v>365</v>
      </c>
      <c r="E75" s="4"/>
      <c r="F75" s="34">
        <v>780000</v>
      </c>
      <c r="G75" s="5">
        <f t="shared" ref="G75" si="1">G74-F75</f>
        <v>-39597933</v>
      </c>
    </row>
    <row r="76" spans="2:7" ht="18.75" customHeight="1">
      <c r="B76" s="1">
        <v>71</v>
      </c>
      <c r="C76" s="2">
        <v>46278</v>
      </c>
      <c r="D76" s="3" t="s">
        <v>578</v>
      </c>
      <c r="E76" s="4">
        <v>2000000</v>
      </c>
      <c r="F76" s="4"/>
      <c r="G76" s="5">
        <f>G75+E76</f>
        <v>-37597933</v>
      </c>
    </row>
    <row r="77" spans="2:7" ht="18.75" customHeight="1">
      <c r="B77" s="1">
        <v>72</v>
      </c>
      <c r="C77" s="2">
        <v>46278</v>
      </c>
      <c r="D77" s="3" t="s">
        <v>559</v>
      </c>
      <c r="E77" s="4"/>
      <c r="F77" s="33">
        <v>502500</v>
      </c>
      <c r="G77" s="5">
        <f>G76-F77</f>
        <v>-38100433</v>
      </c>
    </row>
    <row r="78" spans="2:7" ht="18.75" customHeight="1">
      <c r="B78" s="1">
        <v>73</v>
      </c>
      <c r="C78" s="2">
        <v>46280</v>
      </c>
      <c r="D78" s="3" t="s">
        <v>579</v>
      </c>
      <c r="E78" s="4"/>
      <c r="F78" s="33">
        <v>363764</v>
      </c>
      <c r="G78" s="5">
        <f>G77-F78</f>
        <v>-38464197</v>
      </c>
    </row>
    <row r="79" spans="2:7" ht="18.75" customHeight="1">
      <c r="B79" s="1">
        <v>74</v>
      </c>
      <c r="C79" s="2">
        <v>46281</v>
      </c>
      <c r="D79" s="3" t="s">
        <v>536</v>
      </c>
      <c r="E79" s="4">
        <v>33800000</v>
      </c>
      <c r="F79" s="4"/>
      <c r="G79" s="5">
        <f>G78+E79</f>
        <v>-4664197</v>
      </c>
    </row>
    <row r="80" spans="2:7" ht="18.75" customHeight="1">
      <c r="B80" s="1">
        <v>75</v>
      </c>
      <c r="C80" s="2">
        <v>46281</v>
      </c>
      <c r="D80" s="3" t="s">
        <v>580</v>
      </c>
      <c r="E80" s="4"/>
      <c r="F80" s="34">
        <v>1000000</v>
      </c>
      <c r="G80" s="5">
        <f>G79-F80</f>
        <v>-5664197</v>
      </c>
    </row>
    <row r="81" spans="2:7" ht="18.75" customHeight="1">
      <c r="B81" s="1">
        <v>76</v>
      </c>
      <c r="C81" s="2">
        <v>46281</v>
      </c>
      <c r="D81" s="3" t="s">
        <v>581</v>
      </c>
      <c r="E81" s="4"/>
      <c r="F81" s="34">
        <v>2000000</v>
      </c>
      <c r="G81" s="5">
        <f>G80-F81</f>
        <v>-7664197</v>
      </c>
    </row>
    <row r="82" spans="2:7" ht="18.75" customHeight="1">
      <c r="B82" s="1">
        <v>77</v>
      </c>
      <c r="C82" s="2">
        <v>46281</v>
      </c>
      <c r="D82" s="3" t="s">
        <v>582</v>
      </c>
      <c r="E82" s="4"/>
      <c r="F82" s="33">
        <v>200000</v>
      </c>
      <c r="G82" s="5">
        <f>G81-F82</f>
        <v>-7864197</v>
      </c>
    </row>
    <row r="83" spans="2:7" ht="18.75" customHeight="1">
      <c r="B83" s="1">
        <v>78</v>
      </c>
      <c r="C83" s="2">
        <v>46283</v>
      </c>
      <c r="D83" s="3" t="s">
        <v>583</v>
      </c>
      <c r="E83" s="4"/>
      <c r="F83" s="33">
        <v>300000</v>
      </c>
      <c r="G83" s="5">
        <f t="shared" ref="G83:G84" si="2">G82-F83</f>
        <v>-8164197</v>
      </c>
    </row>
    <row r="84" spans="2:7" ht="18.75" customHeight="1">
      <c r="B84" s="1">
        <v>79</v>
      </c>
      <c r="C84" s="2">
        <v>46283</v>
      </c>
      <c r="D84" s="3" t="s">
        <v>365</v>
      </c>
      <c r="E84" s="4"/>
      <c r="F84" s="34">
        <v>720000</v>
      </c>
      <c r="G84" s="5">
        <f t="shared" si="2"/>
        <v>-8884197</v>
      </c>
    </row>
    <row r="85" spans="2:7" ht="18.75" customHeight="1" thickTop="1" thickBot="1">
      <c r="B85" s="66" t="s">
        <v>337</v>
      </c>
      <c r="C85" s="97"/>
      <c r="D85" s="67"/>
      <c r="E85" s="9">
        <f>SUM(E7:E84)</f>
        <v>97675000</v>
      </c>
      <c r="F85" s="9">
        <f>SUM(F7:F84)</f>
        <v>106559197</v>
      </c>
      <c r="G85" s="60">
        <f>E85-F85</f>
        <v>-8884197</v>
      </c>
    </row>
    <row r="86" spans="2:7" ht="15.75" thickTop="1"/>
  </sheetData>
  <mergeCells count="5">
    <mergeCell ref="B2:G2"/>
    <mergeCell ref="B3:G3"/>
    <mergeCell ref="B4:G4"/>
    <mergeCell ref="B5:G5"/>
    <mergeCell ref="B85:D85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2883-BDBA-4248-B59F-AD5F408A4ACA}">
  <dimension ref="B1:J45"/>
  <sheetViews>
    <sheetView topLeftCell="A3" workbookViewId="0">
      <selection activeCell="M16" sqref="M16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21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46223</v>
      </c>
      <c r="D7" s="3" t="s">
        <v>475</v>
      </c>
      <c r="E7" s="4"/>
      <c r="F7" s="33">
        <v>485769</v>
      </c>
      <c r="G7" s="5">
        <f>-F7</f>
        <v>-485769</v>
      </c>
      <c r="I7" s="16" t="s">
        <v>27</v>
      </c>
      <c r="J7" s="39">
        <f>F7+F8+SUM(F12:F14)+F16+SUM(F18:F22)+SUM(F24:F25)+F28+F31+SUM(F33:F35)+SUM(F39:F40,F42)</f>
        <v>22743524</v>
      </c>
    </row>
    <row r="8" spans="2:10" ht="18.75" customHeight="1">
      <c r="B8" s="1">
        <v>2</v>
      </c>
      <c r="C8" s="2">
        <v>46223</v>
      </c>
      <c r="D8" s="3" t="s">
        <v>374</v>
      </c>
      <c r="E8" s="4"/>
      <c r="F8" s="33">
        <v>1214000</v>
      </c>
      <c r="G8" s="5">
        <f>G7-F8</f>
        <v>-1699769</v>
      </c>
      <c r="I8" s="17" t="s">
        <v>28</v>
      </c>
      <c r="J8" s="5">
        <f>F10+F15+F17+F23+SUM(F26:F27)+F29+F36+F38+F43</f>
        <v>18725000</v>
      </c>
    </row>
    <row r="9" spans="2:10" ht="18.75" customHeight="1">
      <c r="B9" s="1">
        <v>3</v>
      </c>
      <c r="C9" s="2">
        <v>46223</v>
      </c>
      <c r="D9" s="3" t="s">
        <v>535</v>
      </c>
      <c r="E9" s="4"/>
      <c r="F9" s="38">
        <v>1100000</v>
      </c>
      <c r="G9" s="5">
        <f>G8-F9</f>
        <v>-2799769</v>
      </c>
      <c r="I9" s="18" t="s">
        <v>29</v>
      </c>
      <c r="J9" s="5"/>
    </row>
    <row r="10" spans="2:10" ht="18.75" customHeight="1" thickBot="1">
      <c r="B10" s="1">
        <v>4</v>
      </c>
      <c r="C10" s="2">
        <v>46225</v>
      </c>
      <c r="D10" s="3" t="s">
        <v>360</v>
      </c>
      <c r="E10" s="4"/>
      <c r="F10" s="58">
        <v>2002500</v>
      </c>
      <c r="G10" s="5">
        <f>G9-F10</f>
        <v>-4802269</v>
      </c>
      <c r="I10" s="37" t="s">
        <v>30</v>
      </c>
      <c r="J10" s="15">
        <f>F9+F30+F32+F37</f>
        <v>1725000</v>
      </c>
    </row>
    <row r="11" spans="2:10" ht="18.75" customHeight="1" thickTop="1">
      <c r="B11" s="1">
        <v>5</v>
      </c>
      <c r="C11" s="2">
        <v>46226</v>
      </c>
      <c r="D11" s="3" t="s">
        <v>536</v>
      </c>
      <c r="E11" s="4">
        <v>45000000</v>
      </c>
      <c r="F11" s="4"/>
      <c r="G11" s="5">
        <f>G10+E11</f>
        <v>40197731</v>
      </c>
      <c r="J11" s="35">
        <f>SUM(J7:J10)</f>
        <v>43193524</v>
      </c>
    </row>
    <row r="12" spans="2:10" ht="18.75" customHeight="1">
      <c r="B12" s="1">
        <v>6</v>
      </c>
      <c r="C12" s="2">
        <v>46226</v>
      </c>
      <c r="D12" s="3" t="s">
        <v>584</v>
      </c>
      <c r="E12" s="4"/>
      <c r="F12" s="33">
        <v>533000</v>
      </c>
      <c r="G12" s="5">
        <f>G11-F12</f>
        <v>39664731</v>
      </c>
      <c r="J12" s="35"/>
    </row>
    <row r="13" spans="2:10" ht="18.75" customHeight="1">
      <c r="B13" s="1">
        <v>7</v>
      </c>
      <c r="C13" s="2">
        <v>46227</v>
      </c>
      <c r="D13" s="3" t="s">
        <v>585</v>
      </c>
      <c r="E13" s="4"/>
      <c r="F13" s="33">
        <v>170000</v>
      </c>
      <c r="G13" s="5">
        <f t="shared" ref="G13:G40" si="0">G12-F13</f>
        <v>39494731</v>
      </c>
      <c r="J13" s="35"/>
    </row>
    <row r="14" spans="2:10" ht="18.75" customHeight="1">
      <c r="B14" s="1">
        <v>8</v>
      </c>
      <c r="C14" s="2">
        <v>46227</v>
      </c>
      <c r="D14" s="3" t="s">
        <v>451</v>
      </c>
      <c r="E14" s="4"/>
      <c r="F14" s="33">
        <v>619000</v>
      </c>
      <c r="G14" s="5">
        <f t="shared" si="0"/>
        <v>38875731</v>
      </c>
      <c r="J14" s="35"/>
    </row>
    <row r="15" spans="2:10" ht="18.75" customHeight="1">
      <c r="B15" s="1">
        <v>9</v>
      </c>
      <c r="C15" s="2">
        <v>46228</v>
      </c>
      <c r="D15" s="3" t="s">
        <v>365</v>
      </c>
      <c r="E15" s="4"/>
      <c r="F15" s="58">
        <v>2162500</v>
      </c>
      <c r="G15" s="5">
        <f t="shared" si="0"/>
        <v>36713231</v>
      </c>
    </row>
    <row r="16" spans="2:10" ht="18.75" customHeight="1">
      <c r="B16" s="1">
        <v>10</v>
      </c>
      <c r="C16" s="2">
        <v>46233</v>
      </c>
      <c r="D16" s="3" t="s">
        <v>374</v>
      </c>
      <c r="E16" s="4"/>
      <c r="F16" s="33">
        <v>2202000</v>
      </c>
      <c r="G16" s="5">
        <f t="shared" si="0"/>
        <v>34511231</v>
      </c>
    </row>
    <row r="17" spans="2:7" ht="18.75" customHeight="1">
      <c r="B17" s="1">
        <v>11</v>
      </c>
      <c r="C17" s="2">
        <v>46235</v>
      </c>
      <c r="D17" s="3" t="s">
        <v>365</v>
      </c>
      <c r="E17" s="4"/>
      <c r="F17" s="58">
        <v>2382500</v>
      </c>
      <c r="G17" s="5">
        <f t="shared" si="0"/>
        <v>32128731</v>
      </c>
    </row>
    <row r="18" spans="2:7" ht="18.75" customHeight="1">
      <c r="B18" s="1">
        <v>12</v>
      </c>
      <c r="C18" s="2">
        <v>46237</v>
      </c>
      <c r="D18" s="3" t="s">
        <v>450</v>
      </c>
      <c r="E18" s="4"/>
      <c r="F18" s="33">
        <v>873525</v>
      </c>
      <c r="G18" s="5">
        <f t="shared" si="0"/>
        <v>31255206</v>
      </c>
    </row>
    <row r="19" spans="2:7" ht="18.75" customHeight="1">
      <c r="B19" s="1">
        <v>13</v>
      </c>
      <c r="C19" s="2">
        <v>46237</v>
      </c>
      <c r="D19" s="3" t="s">
        <v>586</v>
      </c>
      <c r="E19" s="4"/>
      <c r="F19" s="33">
        <v>200000</v>
      </c>
      <c r="G19" s="5">
        <f t="shared" si="0"/>
        <v>31055206</v>
      </c>
    </row>
    <row r="20" spans="2:7" ht="18.75" customHeight="1">
      <c r="B20" s="1">
        <v>14</v>
      </c>
      <c r="C20" s="2">
        <v>46238</v>
      </c>
      <c r="D20" s="3" t="s">
        <v>374</v>
      </c>
      <c r="E20" s="4"/>
      <c r="F20" s="33">
        <v>1489000</v>
      </c>
      <c r="G20" s="5">
        <f t="shared" si="0"/>
        <v>29566206</v>
      </c>
    </row>
    <row r="21" spans="2:7" ht="18.75" customHeight="1">
      <c r="B21" s="1">
        <v>15</v>
      </c>
      <c r="C21" s="2">
        <v>46238</v>
      </c>
      <c r="D21" s="3" t="s">
        <v>587</v>
      </c>
      <c r="E21" s="4"/>
      <c r="F21" s="33">
        <v>3052500</v>
      </c>
      <c r="G21" s="5">
        <f t="shared" si="0"/>
        <v>26513706</v>
      </c>
    </row>
    <row r="22" spans="2:7" ht="18.75" customHeight="1">
      <c r="B22" s="1">
        <v>16</v>
      </c>
      <c r="C22" s="2">
        <v>46241</v>
      </c>
      <c r="D22" s="3" t="s">
        <v>374</v>
      </c>
      <c r="E22" s="4"/>
      <c r="F22" s="33">
        <v>501000</v>
      </c>
      <c r="G22" s="5">
        <f t="shared" si="0"/>
        <v>26012706</v>
      </c>
    </row>
    <row r="23" spans="2:7" ht="18.75" customHeight="1">
      <c r="B23" s="1">
        <v>17</v>
      </c>
      <c r="C23" s="2">
        <v>46242</v>
      </c>
      <c r="D23" s="3" t="s">
        <v>365</v>
      </c>
      <c r="E23" s="4"/>
      <c r="F23" s="58">
        <v>2492500</v>
      </c>
      <c r="G23" s="5">
        <f t="shared" si="0"/>
        <v>23520206</v>
      </c>
    </row>
    <row r="24" spans="2:7" ht="18.75" customHeight="1">
      <c r="B24" s="1">
        <v>18</v>
      </c>
      <c r="C24" s="2">
        <v>46244</v>
      </c>
      <c r="D24" s="3" t="s">
        <v>374</v>
      </c>
      <c r="E24" s="4"/>
      <c r="F24" s="33">
        <v>380000</v>
      </c>
      <c r="G24" s="5">
        <f t="shared" si="0"/>
        <v>23140206</v>
      </c>
    </row>
    <row r="25" spans="2:7" ht="18.75" customHeight="1">
      <c r="B25" s="1">
        <v>19</v>
      </c>
      <c r="C25" s="2">
        <v>46245</v>
      </c>
      <c r="D25" s="3" t="s">
        <v>588</v>
      </c>
      <c r="E25" s="4"/>
      <c r="F25" s="33">
        <v>6000000</v>
      </c>
      <c r="G25" s="5">
        <f t="shared" si="0"/>
        <v>17140206</v>
      </c>
    </row>
    <row r="26" spans="2:7" ht="18.75" customHeight="1">
      <c r="B26" s="1">
        <v>20</v>
      </c>
      <c r="C26" s="2">
        <v>46246</v>
      </c>
      <c r="D26" s="3" t="s">
        <v>360</v>
      </c>
      <c r="E26" s="4"/>
      <c r="F26" s="58">
        <v>1002500</v>
      </c>
      <c r="G26" s="5">
        <f t="shared" si="0"/>
        <v>16137706</v>
      </c>
    </row>
    <row r="27" spans="2:7" ht="18.75" customHeight="1">
      <c r="B27" s="1">
        <v>21</v>
      </c>
      <c r="C27" s="2">
        <v>46248</v>
      </c>
      <c r="D27" s="3" t="s">
        <v>365</v>
      </c>
      <c r="E27" s="4"/>
      <c r="F27" s="58">
        <v>2437500</v>
      </c>
      <c r="G27" s="5">
        <f t="shared" si="0"/>
        <v>13700206</v>
      </c>
    </row>
    <row r="28" spans="2:7" ht="18.75" customHeight="1">
      <c r="B28" s="1">
        <v>22</v>
      </c>
      <c r="C28" s="2">
        <v>46252</v>
      </c>
      <c r="D28" s="3" t="s">
        <v>374</v>
      </c>
      <c r="E28" s="4"/>
      <c r="F28" s="33">
        <v>921000</v>
      </c>
      <c r="G28" s="5">
        <f t="shared" si="0"/>
        <v>12779206</v>
      </c>
    </row>
    <row r="29" spans="2:7" ht="18.75" customHeight="1">
      <c r="B29" s="1">
        <v>23</v>
      </c>
      <c r="C29" s="2">
        <v>46255</v>
      </c>
      <c r="D29" s="3" t="s">
        <v>365</v>
      </c>
      <c r="E29" s="4"/>
      <c r="F29" s="58">
        <v>2020000</v>
      </c>
      <c r="G29" s="5">
        <f t="shared" si="0"/>
        <v>10759206</v>
      </c>
    </row>
    <row r="30" spans="2:7" ht="18.75" customHeight="1">
      <c r="B30" s="1">
        <v>24</v>
      </c>
      <c r="C30" s="2">
        <v>46255</v>
      </c>
      <c r="D30" s="3" t="s">
        <v>535</v>
      </c>
      <c r="E30" s="4"/>
      <c r="F30" s="38">
        <v>250000</v>
      </c>
      <c r="G30" s="5">
        <f t="shared" si="0"/>
        <v>10509206</v>
      </c>
    </row>
    <row r="31" spans="2:7" ht="18.75" customHeight="1">
      <c r="B31" s="1">
        <v>25</v>
      </c>
      <c r="C31" s="2">
        <v>46256</v>
      </c>
      <c r="D31" s="3" t="s">
        <v>374</v>
      </c>
      <c r="E31" s="4"/>
      <c r="F31" s="33">
        <v>127000</v>
      </c>
      <c r="G31" s="5">
        <f t="shared" si="0"/>
        <v>10382206</v>
      </c>
    </row>
    <row r="32" spans="2:7" ht="18.75" customHeight="1">
      <c r="B32" s="1">
        <v>26</v>
      </c>
      <c r="C32" s="2">
        <v>46256</v>
      </c>
      <c r="D32" s="3" t="s">
        <v>551</v>
      </c>
      <c r="E32" s="4"/>
      <c r="F32" s="38">
        <v>300000</v>
      </c>
      <c r="G32" s="5">
        <f t="shared" si="0"/>
        <v>10082206</v>
      </c>
    </row>
    <row r="33" spans="2:7" ht="18.75" customHeight="1">
      <c r="B33" s="1">
        <v>27</v>
      </c>
      <c r="C33" s="2">
        <v>46258</v>
      </c>
      <c r="D33" s="3" t="s">
        <v>374</v>
      </c>
      <c r="E33" s="4"/>
      <c r="F33" s="33">
        <v>379000</v>
      </c>
      <c r="G33" s="5">
        <f t="shared" si="0"/>
        <v>9703206</v>
      </c>
    </row>
    <row r="34" spans="2:7" ht="18.75" customHeight="1">
      <c r="B34" s="1">
        <v>28</v>
      </c>
      <c r="C34" s="2">
        <v>46259</v>
      </c>
      <c r="D34" s="3" t="s">
        <v>589</v>
      </c>
      <c r="E34" s="4"/>
      <c r="F34" s="33">
        <v>612730</v>
      </c>
      <c r="G34" s="5">
        <f t="shared" si="0"/>
        <v>9090476</v>
      </c>
    </row>
    <row r="35" spans="2:7" ht="18.75" customHeight="1">
      <c r="B35" s="1">
        <v>29</v>
      </c>
      <c r="C35" s="2">
        <v>46259</v>
      </c>
      <c r="D35" s="3" t="s">
        <v>475</v>
      </c>
      <c r="E35" s="4"/>
      <c r="F35" s="33">
        <v>212000</v>
      </c>
      <c r="G35" s="5">
        <f t="shared" si="0"/>
        <v>8878476</v>
      </c>
    </row>
    <row r="36" spans="2:7" ht="18.75" customHeight="1">
      <c r="B36" s="1">
        <v>30</v>
      </c>
      <c r="C36" s="2">
        <v>46259</v>
      </c>
      <c r="D36" s="3" t="s">
        <v>365</v>
      </c>
      <c r="E36" s="4"/>
      <c r="F36" s="58">
        <v>1600000</v>
      </c>
      <c r="G36" s="5">
        <f t="shared" si="0"/>
        <v>7278476</v>
      </c>
    </row>
    <row r="37" spans="2:7" ht="18.75" customHeight="1">
      <c r="B37" s="1">
        <v>31</v>
      </c>
      <c r="C37" s="2">
        <v>46260</v>
      </c>
      <c r="D37" s="3" t="s">
        <v>422</v>
      </c>
      <c r="E37" s="4"/>
      <c r="F37" s="38">
        <v>75000</v>
      </c>
      <c r="G37" s="5">
        <f t="shared" si="0"/>
        <v>7203476</v>
      </c>
    </row>
    <row r="38" spans="2:7" ht="18.75" customHeight="1">
      <c r="B38" s="1">
        <v>32</v>
      </c>
      <c r="C38" s="2">
        <v>46265</v>
      </c>
      <c r="D38" s="3" t="s">
        <v>360</v>
      </c>
      <c r="E38" s="4"/>
      <c r="F38" s="58">
        <v>500000</v>
      </c>
      <c r="G38" s="5">
        <f t="shared" si="0"/>
        <v>6703476</v>
      </c>
    </row>
    <row r="39" spans="2:7" ht="18.75" customHeight="1">
      <c r="B39" s="1">
        <v>33</v>
      </c>
      <c r="C39" s="2">
        <v>46267</v>
      </c>
      <c r="D39" s="3" t="s">
        <v>590</v>
      </c>
      <c r="E39" s="4"/>
      <c r="F39" s="33">
        <v>1665000</v>
      </c>
      <c r="G39" s="5">
        <f t="shared" si="0"/>
        <v>5038476</v>
      </c>
    </row>
    <row r="40" spans="2:7" ht="18.75" customHeight="1">
      <c r="B40" s="1">
        <v>34</v>
      </c>
      <c r="C40" s="2">
        <v>46267</v>
      </c>
      <c r="D40" s="3" t="s">
        <v>591</v>
      </c>
      <c r="E40" s="4"/>
      <c r="F40" s="33">
        <v>763000</v>
      </c>
      <c r="G40" s="5">
        <f t="shared" si="0"/>
        <v>4275476</v>
      </c>
    </row>
    <row r="41" spans="2:7" ht="18.75" customHeight="1">
      <c r="B41" s="1">
        <v>35</v>
      </c>
      <c r="C41" s="2">
        <v>46267</v>
      </c>
      <c r="D41" s="3" t="s">
        <v>536</v>
      </c>
      <c r="E41" s="4">
        <v>2000000</v>
      </c>
      <c r="F41" s="4"/>
      <c r="G41" s="5">
        <f>G40+E41</f>
        <v>6275476</v>
      </c>
    </row>
    <row r="42" spans="2:7" ht="18.75" customHeight="1">
      <c r="B42" s="1">
        <v>36</v>
      </c>
      <c r="C42" s="2">
        <v>46268</v>
      </c>
      <c r="D42" s="3" t="s">
        <v>340</v>
      </c>
      <c r="E42" s="4"/>
      <c r="F42" s="33">
        <v>344000</v>
      </c>
      <c r="G42" s="5">
        <f>G41-F42</f>
        <v>5931476</v>
      </c>
    </row>
    <row r="43" spans="2:7" ht="18.75" customHeight="1">
      <c r="B43" s="1">
        <v>37</v>
      </c>
      <c r="C43" s="2">
        <v>46269</v>
      </c>
      <c r="D43" s="3" t="s">
        <v>365</v>
      </c>
      <c r="E43" s="4"/>
      <c r="F43" s="58">
        <v>2125000</v>
      </c>
      <c r="G43" s="5">
        <f>G42-F43</f>
        <v>3806476</v>
      </c>
    </row>
    <row r="44" spans="2:7" ht="18.75" customHeight="1" thickTop="1" thickBot="1">
      <c r="B44" s="66" t="s">
        <v>337</v>
      </c>
      <c r="C44" s="97"/>
      <c r="D44" s="67"/>
      <c r="E44" s="9">
        <f>SUM(E7:E43)</f>
        <v>47000000</v>
      </c>
      <c r="F44" s="9">
        <f>SUM(F7:F43)</f>
        <v>43193524</v>
      </c>
      <c r="G44" s="60">
        <f>E44-F44</f>
        <v>3806476</v>
      </c>
    </row>
    <row r="45" spans="2:7" ht="15.75" thickTop="1">
      <c r="G45" s="55">
        <f>G44/E44</f>
        <v>8.0988851063829789E-2</v>
      </c>
    </row>
  </sheetData>
  <mergeCells count="5">
    <mergeCell ref="B2:G2"/>
    <mergeCell ref="B3:G3"/>
    <mergeCell ref="B4:G4"/>
    <mergeCell ref="B5:G5"/>
    <mergeCell ref="B44:D44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3BE8-488E-3F47-97E4-64E3F317151F}">
  <dimension ref="B1:J15"/>
  <sheetViews>
    <sheetView workbookViewId="0">
      <selection activeCell="B2" sqref="B2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592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46207</v>
      </c>
      <c r="D7" s="3" t="s">
        <v>593</v>
      </c>
      <c r="E7" s="4"/>
      <c r="F7" s="33">
        <v>399000</v>
      </c>
      <c r="G7" s="5">
        <f>-F7</f>
        <v>-399000</v>
      </c>
      <c r="I7" s="16" t="s">
        <v>27</v>
      </c>
      <c r="J7" s="39">
        <f>SUM(F7:F8)+SUM(F10:F11)</f>
        <v>2232245</v>
      </c>
    </row>
    <row r="8" spans="2:10" ht="18.75" customHeight="1">
      <c r="B8" s="1">
        <v>2</v>
      </c>
      <c r="C8" s="2">
        <v>46208</v>
      </c>
      <c r="D8" s="3" t="s">
        <v>594</v>
      </c>
      <c r="E8" s="4"/>
      <c r="F8" s="33">
        <v>1128305</v>
      </c>
      <c r="G8" s="5">
        <f>G7-F8</f>
        <v>-1527305</v>
      </c>
      <c r="I8" s="17" t="s">
        <v>28</v>
      </c>
      <c r="J8" s="5">
        <f>F9+F12</f>
        <v>1345000</v>
      </c>
    </row>
    <row r="9" spans="2:10" ht="18.75" customHeight="1">
      <c r="B9" s="1">
        <v>3</v>
      </c>
      <c r="C9" s="2">
        <v>46209</v>
      </c>
      <c r="D9" s="3" t="s">
        <v>365</v>
      </c>
      <c r="E9" s="4"/>
      <c r="F9" s="34">
        <v>625000</v>
      </c>
      <c r="G9" s="5">
        <f>G8-F9</f>
        <v>-2152305</v>
      </c>
      <c r="I9" s="18" t="s">
        <v>29</v>
      </c>
      <c r="J9" s="5"/>
    </row>
    <row r="10" spans="2:10" ht="18.75" customHeight="1" thickBot="1">
      <c r="B10" s="1">
        <v>4</v>
      </c>
      <c r="C10" s="2">
        <v>46212</v>
      </c>
      <c r="D10" s="3" t="s">
        <v>595</v>
      </c>
      <c r="E10" s="4"/>
      <c r="F10" s="33">
        <v>355000</v>
      </c>
      <c r="G10" s="5">
        <f t="shared" ref="G10:G12" si="0">G9-F10</f>
        <v>-2507305</v>
      </c>
      <c r="I10" s="37" t="s">
        <v>30</v>
      </c>
      <c r="J10" s="15"/>
    </row>
    <row r="11" spans="2:10" ht="18.75" customHeight="1" thickTop="1">
      <c r="B11" s="1">
        <v>5</v>
      </c>
      <c r="C11" s="2">
        <v>46213</v>
      </c>
      <c r="D11" s="3" t="s">
        <v>596</v>
      </c>
      <c r="E11" s="4"/>
      <c r="F11" s="33">
        <v>349940</v>
      </c>
      <c r="G11" s="5">
        <f t="shared" si="0"/>
        <v>-2857245</v>
      </c>
      <c r="J11" s="35">
        <f>SUM(J7:J10)</f>
        <v>3577245</v>
      </c>
    </row>
    <row r="12" spans="2:10" ht="18.75" customHeight="1">
      <c r="B12" s="1">
        <v>6</v>
      </c>
      <c r="C12" s="2">
        <v>46217</v>
      </c>
      <c r="D12" s="3" t="s">
        <v>365</v>
      </c>
      <c r="E12" s="4"/>
      <c r="F12" s="34">
        <v>720000</v>
      </c>
      <c r="G12" s="5">
        <f t="shared" si="0"/>
        <v>-3577245</v>
      </c>
    </row>
    <row r="13" spans="2:10" ht="18.75" customHeight="1" thickBot="1">
      <c r="B13" s="1">
        <v>7</v>
      </c>
      <c r="C13" s="2">
        <v>46240</v>
      </c>
      <c r="D13" s="10" t="s">
        <v>536</v>
      </c>
      <c r="E13" s="4">
        <v>6337500</v>
      </c>
      <c r="F13" s="4"/>
      <c r="G13" s="5"/>
    </row>
    <row r="14" spans="2:10" ht="18.75" customHeight="1" thickTop="1" thickBot="1">
      <c r="B14" s="66" t="s">
        <v>337</v>
      </c>
      <c r="C14" s="97"/>
      <c r="D14" s="67"/>
      <c r="E14" s="9">
        <f>SUM(E7:E13)</f>
        <v>6337500</v>
      </c>
      <c r="F14" s="9">
        <f>SUM(F7:F13)</f>
        <v>3577245</v>
      </c>
      <c r="G14" s="60">
        <f>E14-F14</f>
        <v>2760255</v>
      </c>
    </row>
    <row r="15" spans="2:10" ht="15.75" thickTop="1">
      <c r="G15" s="55">
        <f>G14/E14</f>
        <v>0.43554319526627217</v>
      </c>
    </row>
  </sheetData>
  <mergeCells count="5">
    <mergeCell ref="B2:G2"/>
    <mergeCell ref="B3:G3"/>
    <mergeCell ref="B4:G4"/>
    <mergeCell ref="B5:G5"/>
    <mergeCell ref="B14:D14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20D0-213D-2F42-886C-41FCD038A379}">
  <dimension ref="B1:J68"/>
  <sheetViews>
    <sheetView workbookViewId="0">
      <selection activeCell="M20" sqref="M20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17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46187</v>
      </c>
      <c r="D7" s="3" t="s">
        <v>499</v>
      </c>
      <c r="E7" s="4"/>
      <c r="F7" s="33">
        <v>33000</v>
      </c>
      <c r="G7" s="5">
        <f>-F7</f>
        <v>-33000</v>
      </c>
      <c r="I7" s="16" t="s">
        <v>27</v>
      </c>
      <c r="J7" s="39">
        <f>F7+SUM(F12:F13)+F10+F15+F17+SUM(F20:F25)+F27+SUM(F29:F33)+SUM(F36:F40)+SUM(F43:F45)+SUM(F48:F49)+SUM(F52:F56)+SUM(F58:F64)</f>
        <v>31804249</v>
      </c>
    </row>
    <row r="8" spans="2:10" ht="18.75" customHeight="1">
      <c r="B8" s="1">
        <v>2</v>
      </c>
      <c r="C8" s="2">
        <v>46187</v>
      </c>
      <c r="D8" s="3" t="s">
        <v>245</v>
      </c>
      <c r="E8" s="4"/>
      <c r="F8" s="38">
        <v>180000</v>
      </c>
      <c r="G8" s="5">
        <f>G7-F8</f>
        <v>-213000</v>
      </c>
      <c r="I8" s="17" t="s">
        <v>28</v>
      </c>
      <c r="J8" s="5">
        <f>F11+F16+SUM(F18:F19)+F26+SUM(F34:F35)+F41+SUM(F46:F47)+F57+F65</f>
        <v>20550000</v>
      </c>
    </row>
    <row r="9" spans="2:10" ht="18.75" customHeight="1">
      <c r="B9" s="1">
        <v>3</v>
      </c>
      <c r="C9" s="2">
        <v>46188</v>
      </c>
      <c r="D9" s="3" t="s">
        <v>339</v>
      </c>
      <c r="E9" s="4">
        <v>38000000</v>
      </c>
      <c r="F9" s="4"/>
      <c r="G9" s="5">
        <f>G8+E9</f>
        <v>37787000</v>
      </c>
      <c r="I9" s="18" t="s">
        <v>29</v>
      </c>
      <c r="J9" s="5"/>
    </row>
    <row r="10" spans="2:10" ht="18.75" customHeight="1" thickBot="1">
      <c r="B10" s="1">
        <v>4</v>
      </c>
      <c r="C10" s="2">
        <v>46188</v>
      </c>
      <c r="D10" s="3" t="s">
        <v>374</v>
      </c>
      <c r="E10" s="4"/>
      <c r="F10" s="33">
        <v>1658000</v>
      </c>
      <c r="G10" s="5">
        <f>G9-F10</f>
        <v>36129000</v>
      </c>
      <c r="I10" s="37" t="s">
        <v>30</v>
      </c>
      <c r="J10" s="15">
        <f>F8+F14+F28+F42+F51</f>
        <v>1892500</v>
      </c>
    </row>
    <row r="11" spans="2:10" ht="18.75" customHeight="1" thickTop="1">
      <c r="B11" s="1">
        <v>5</v>
      </c>
      <c r="C11" s="2">
        <v>46189</v>
      </c>
      <c r="D11" s="3" t="s">
        <v>360</v>
      </c>
      <c r="E11" s="4"/>
      <c r="F11" s="34">
        <v>1500000</v>
      </c>
      <c r="G11" s="5">
        <f t="shared" ref="G11:G49" si="0">G10-F11</f>
        <v>34629000</v>
      </c>
      <c r="J11" s="35">
        <f>SUM(J7:J10)</f>
        <v>54246749</v>
      </c>
    </row>
    <row r="12" spans="2:10" ht="18.75" customHeight="1">
      <c r="B12" s="1">
        <v>6</v>
      </c>
      <c r="C12" s="2">
        <v>46190</v>
      </c>
      <c r="D12" s="3" t="s">
        <v>374</v>
      </c>
      <c r="E12" s="4"/>
      <c r="F12" s="33">
        <v>545000</v>
      </c>
      <c r="G12" s="5">
        <f t="shared" si="0"/>
        <v>34084000</v>
      </c>
    </row>
    <row r="13" spans="2:10" ht="18.75" customHeight="1">
      <c r="B13" s="1">
        <v>7</v>
      </c>
      <c r="C13" s="2">
        <v>46190</v>
      </c>
      <c r="D13" s="10" t="s">
        <v>374</v>
      </c>
      <c r="E13" s="4"/>
      <c r="F13" s="33">
        <v>310000</v>
      </c>
      <c r="G13" s="5">
        <f t="shared" si="0"/>
        <v>33774000</v>
      </c>
      <c r="J13" s="35"/>
    </row>
    <row r="14" spans="2:10" ht="18.75" customHeight="1">
      <c r="B14" s="1">
        <v>8</v>
      </c>
      <c r="C14" s="2">
        <v>46190</v>
      </c>
      <c r="D14" s="10" t="s">
        <v>597</v>
      </c>
      <c r="E14" s="4"/>
      <c r="F14" s="38">
        <v>1100000</v>
      </c>
      <c r="G14" s="5">
        <f t="shared" si="0"/>
        <v>32674000</v>
      </c>
      <c r="J14" s="35"/>
    </row>
    <row r="15" spans="2:10" ht="18.75" customHeight="1">
      <c r="B15" s="1">
        <v>9</v>
      </c>
      <c r="C15" s="2">
        <v>46192</v>
      </c>
      <c r="D15" s="10" t="s">
        <v>598</v>
      </c>
      <c r="E15" s="4"/>
      <c r="F15" s="33">
        <v>3589000</v>
      </c>
      <c r="G15" s="5">
        <f t="shared" si="0"/>
        <v>29085000</v>
      </c>
      <c r="J15" s="48"/>
    </row>
    <row r="16" spans="2:10" ht="18.75" customHeight="1">
      <c r="B16" s="1">
        <v>10</v>
      </c>
      <c r="C16" s="2">
        <v>46192</v>
      </c>
      <c r="D16" s="10" t="s">
        <v>437</v>
      </c>
      <c r="E16" s="4"/>
      <c r="F16" s="34">
        <v>500000</v>
      </c>
      <c r="G16" s="5">
        <f t="shared" si="0"/>
        <v>28585000</v>
      </c>
      <c r="J16" s="35"/>
    </row>
    <row r="17" spans="2:10" ht="18.75" customHeight="1">
      <c r="B17" s="1">
        <v>11</v>
      </c>
      <c r="C17" s="2">
        <v>46193</v>
      </c>
      <c r="D17" s="10" t="s">
        <v>599</v>
      </c>
      <c r="E17" s="4"/>
      <c r="F17" s="33">
        <v>3000000</v>
      </c>
      <c r="G17" s="5">
        <f t="shared" si="0"/>
        <v>25585000</v>
      </c>
    </row>
    <row r="18" spans="2:10" ht="18.75" customHeight="1">
      <c r="B18" s="1">
        <v>12</v>
      </c>
      <c r="C18" s="2">
        <v>46193</v>
      </c>
      <c r="D18" s="10" t="s">
        <v>365</v>
      </c>
      <c r="E18" s="4"/>
      <c r="F18" s="34">
        <v>1000000</v>
      </c>
      <c r="G18" s="5">
        <f t="shared" si="0"/>
        <v>24585000</v>
      </c>
      <c r="J18" s="35"/>
    </row>
    <row r="19" spans="2:10" ht="18.75" customHeight="1">
      <c r="B19" s="1">
        <v>13</v>
      </c>
      <c r="C19" s="2">
        <v>46193</v>
      </c>
      <c r="D19" s="10" t="s">
        <v>437</v>
      </c>
      <c r="E19" s="4"/>
      <c r="F19" s="34">
        <v>1500000</v>
      </c>
      <c r="G19" s="5">
        <f t="shared" si="0"/>
        <v>23085000</v>
      </c>
    </row>
    <row r="20" spans="2:10" ht="18.75" customHeight="1">
      <c r="B20" s="1">
        <v>14</v>
      </c>
      <c r="C20" s="2">
        <v>46194</v>
      </c>
      <c r="D20" s="10" t="s">
        <v>600</v>
      </c>
      <c r="E20" s="4"/>
      <c r="F20" s="33">
        <v>600000</v>
      </c>
      <c r="G20" s="5">
        <f t="shared" si="0"/>
        <v>22485000</v>
      </c>
      <c r="J20" s="35"/>
    </row>
    <row r="21" spans="2:10" ht="18.75" customHeight="1">
      <c r="B21" s="1">
        <v>15</v>
      </c>
      <c r="C21" s="2">
        <v>46195</v>
      </c>
      <c r="D21" s="10" t="s">
        <v>465</v>
      </c>
      <c r="E21" s="4"/>
      <c r="F21" s="33">
        <v>390000</v>
      </c>
      <c r="G21" s="5">
        <f t="shared" si="0"/>
        <v>22095000</v>
      </c>
    </row>
    <row r="22" spans="2:10" ht="18.75" customHeight="1">
      <c r="B22" s="1">
        <v>16</v>
      </c>
      <c r="C22" s="2">
        <v>46195</v>
      </c>
      <c r="D22" s="10" t="s">
        <v>465</v>
      </c>
      <c r="E22" s="4"/>
      <c r="F22" s="33">
        <v>2963000</v>
      </c>
      <c r="G22" s="5">
        <f t="shared" si="0"/>
        <v>19132000</v>
      </c>
    </row>
    <row r="23" spans="2:10" ht="18.75" customHeight="1">
      <c r="B23" s="1">
        <v>17</v>
      </c>
      <c r="C23" s="2">
        <v>46195</v>
      </c>
      <c r="D23" s="10" t="s">
        <v>601</v>
      </c>
      <c r="E23" s="4"/>
      <c r="F23" s="33">
        <v>1584000</v>
      </c>
      <c r="G23" s="5">
        <f t="shared" si="0"/>
        <v>17548000</v>
      </c>
    </row>
    <row r="24" spans="2:10" ht="18.75" customHeight="1">
      <c r="B24" s="1">
        <v>18</v>
      </c>
      <c r="C24" s="2">
        <v>46196</v>
      </c>
      <c r="D24" s="10" t="s">
        <v>602</v>
      </c>
      <c r="E24" s="4"/>
      <c r="F24" s="33">
        <v>350000</v>
      </c>
      <c r="G24" s="5">
        <f t="shared" si="0"/>
        <v>17198000</v>
      </c>
    </row>
    <row r="25" spans="2:10" ht="18.75" customHeight="1">
      <c r="B25" s="1">
        <v>19</v>
      </c>
      <c r="C25" s="2">
        <v>46196</v>
      </c>
      <c r="D25" s="10" t="s">
        <v>465</v>
      </c>
      <c r="E25" s="4"/>
      <c r="F25" s="33">
        <v>1112500</v>
      </c>
      <c r="G25" s="5">
        <f t="shared" si="0"/>
        <v>16085500</v>
      </c>
    </row>
    <row r="26" spans="2:10" ht="18.75" customHeight="1">
      <c r="B26" s="1">
        <v>20</v>
      </c>
      <c r="C26" s="2">
        <v>46196</v>
      </c>
      <c r="D26" s="10" t="s">
        <v>437</v>
      </c>
      <c r="E26" s="4"/>
      <c r="F26" s="34">
        <v>1000000</v>
      </c>
      <c r="G26" s="5">
        <f t="shared" si="0"/>
        <v>15085500</v>
      </c>
    </row>
    <row r="27" spans="2:10" ht="18.75" customHeight="1">
      <c r="B27" s="1">
        <v>21</v>
      </c>
      <c r="C27" s="2">
        <v>46197</v>
      </c>
      <c r="D27" s="10" t="s">
        <v>434</v>
      </c>
      <c r="E27" s="4"/>
      <c r="F27" s="33">
        <v>60000</v>
      </c>
      <c r="G27" s="5">
        <f t="shared" si="0"/>
        <v>15025500</v>
      </c>
    </row>
    <row r="28" spans="2:10" ht="18.75" customHeight="1">
      <c r="B28" s="1">
        <v>22</v>
      </c>
      <c r="C28" s="2">
        <v>46197</v>
      </c>
      <c r="D28" s="10" t="s">
        <v>603</v>
      </c>
      <c r="E28" s="4"/>
      <c r="F28" s="38">
        <v>136000</v>
      </c>
      <c r="G28" s="5">
        <f t="shared" si="0"/>
        <v>14889500</v>
      </c>
    </row>
    <row r="29" spans="2:10" ht="18.75" customHeight="1">
      <c r="B29" s="1">
        <v>23</v>
      </c>
      <c r="C29" s="2">
        <v>46197</v>
      </c>
      <c r="D29" s="10" t="s">
        <v>604</v>
      </c>
      <c r="E29" s="4"/>
      <c r="F29" s="33">
        <v>3500000</v>
      </c>
      <c r="G29" s="5">
        <f t="shared" si="0"/>
        <v>11389500</v>
      </c>
    </row>
    <row r="30" spans="2:10" ht="18.75" customHeight="1">
      <c r="B30" s="1">
        <v>24</v>
      </c>
      <c r="C30" s="2">
        <v>46199</v>
      </c>
      <c r="D30" s="10" t="s">
        <v>605</v>
      </c>
      <c r="E30" s="4"/>
      <c r="F30" s="33">
        <v>983000</v>
      </c>
      <c r="G30" s="5">
        <f t="shared" si="0"/>
        <v>10406500</v>
      </c>
    </row>
    <row r="31" spans="2:10" ht="18.75" customHeight="1">
      <c r="B31" s="1">
        <v>25</v>
      </c>
      <c r="C31" s="2">
        <v>46199</v>
      </c>
      <c r="D31" s="10" t="s">
        <v>457</v>
      </c>
      <c r="E31" s="4"/>
      <c r="F31" s="33">
        <v>209000</v>
      </c>
      <c r="G31" s="5">
        <f t="shared" si="0"/>
        <v>10197500</v>
      </c>
    </row>
    <row r="32" spans="2:10" ht="18.75" customHeight="1">
      <c r="B32" s="1">
        <v>26</v>
      </c>
      <c r="C32" s="2">
        <v>46199</v>
      </c>
      <c r="D32" s="10" t="s">
        <v>606</v>
      </c>
      <c r="E32" s="4"/>
      <c r="F32" s="33">
        <v>100000</v>
      </c>
      <c r="G32" s="5">
        <f t="shared" si="0"/>
        <v>10097500</v>
      </c>
    </row>
    <row r="33" spans="2:7" ht="18.75" customHeight="1">
      <c r="B33" s="1">
        <v>27</v>
      </c>
      <c r="C33" s="2">
        <v>46200</v>
      </c>
      <c r="D33" s="10" t="s">
        <v>607</v>
      </c>
      <c r="E33" s="4"/>
      <c r="F33" s="33">
        <v>440000</v>
      </c>
      <c r="G33" s="5">
        <f t="shared" si="0"/>
        <v>9657500</v>
      </c>
    </row>
    <row r="34" spans="2:7" ht="18.75" customHeight="1">
      <c r="B34" s="1">
        <v>28</v>
      </c>
      <c r="C34" s="2">
        <v>46200</v>
      </c>
      <c r="D34" s="10" t="s">
        <v>365</v>
      </c>
      <c r="E34" s="4"/>
      <c r="F34" s="34">
        <v>2160000</v>
      </c>
      <c r="G34" s="5">
        <f t="shared" si="0"/>
        <v>7497500</v>
      </c>
    </row>
    <row r="35" spans="2:7" ht="18.75" customHeight="1">
      <c r="B35" s="1">
        <v>29</v>
      </c>
      <c r="C35" s="2">
        <v>46200</v>
      </c>
      <c r="D35" s="10" t="s">
        <v>437</v>
      </c>
      <c r="E35" s="4"/>
      <c r="F35" s="34">
        <v>4500000</v>
      </c>
      <c r="G35" s="5">
        <f t="shared" si="0"/>
        <v>2997500</v>
      </c>
    </row>
    <row r="36" spans="2:7" ht="18.75" customHeight="1">
      <c r="B36" s="1">
        <v>30</v>
      </c>
      <c r="C36" s="2">
        <v>46202</v>
      </c>
      <c r="D36" s="10" t="s">
        <v>607</v>
      </c>
      <c r="E36" s="4"/>
      <c r="F36" s="33">
        <v>190000</v>
      </c>
      <c r="G36" s="5">
        <f t="shared" si="0"/>
        <v>2807500</v>
      </c>
    </row>
    <row r="37" spans="2:7" ht="18.75" customHeight="1">
      <c r="B37" s="1">
        <v>31</v>
      </c>
      <c r="C37" s="2">
        <v>46202</v>
      </c>
      <c r="D37" s="10" t="s">
        <v>608</v>
      </c>
      <c r="E37" s="4"/>
      <c r="F37" s="33">
        <v>592869</v>
      </c>
      <c r="G37" s="5">
        <f t="shared" si="0"/>
        <v>2214631</v>
      </c>
    </row>
    <row r="38" spans="2:7" ht="18.75" customHeight="1">
      <c r="B38" s="1">
        <v>32</v>
      </c>
      <c r="C38" s="2">
        <v>46203</v>
      </c>
      <c r="D38" s="10" t="s">
        <v>609</v>
      </c>
      <c r="E38" s="4"/>
      <c r="F38" s="33">
        <v>53175</v>
      </c>
      <c r="G38" s="5">
        <f t="shared" si="0"/>
        <v>2161456</v>
      </c>
    </row>
    <row r="39" spans="2:7" ht="18.75" customHeight="1">
      <c r="B39" s="1">
        <v>33</v>
      </c>
      <c r="C39" s="2">
        <v>46203</v>
      </c>
      <c r="D39" s="10" t="s">
        <v>434</v>
      </c>
      <c r="E39" s="4"/>
      <c r="F39" s="33">
        <v>171000</v>
      </c>
      <c r="G39" s="5">
        <f t="shared" si="0"/>
        <v>1990456</v>
      </c>
    </row>
    <row r="40" spans="2:7" ht="18.75" customHeight="1">
      <c r="B40" s="1">
        <v>34</v>
      </c>
      <c r="C40" s="2">
        <v>46174</v>
      </c>
      <c r="D40" s="10" t="s">
        <v>434</v>
      </c>
      <c r="E40" s="4"/>
      <c r="F40" s="33">
        <v>254000</v>
      </c>
      <c r="G40" s="5">
        <f t="shared" si="0"/>
        <v>1736456</v>
      </c>
    </row>
    <row r="41" spans="2:7" ht="18.75" customHeight="1">
      <c r="B41" s="1">
        <v>35</v>
      </c>
      <c r="C41" s="2">
        <v>46205</v>
      </c>
      <c r="D41" s="10" t="s">
        <v>437</v>
      </c>
      <c r="E41" s="4"/>
      <c r="F41" s="34">
        <v>1000000</v>
      </c>
      <c r="G41" s="5">
        <f t="shared" si="0"/>
        <v>736456</v>
      </c>
    </row>
    <row r="42" spans="2:7" ht="18.75" customHeight="1">
      <c r="B42" s="1">
        <v>36</v>
      </c>
      <c r="C42" s="2">
        <v>46206</v>
      </c>
      <c r="D42" s="10" t="s">
        <v>454</v>
      </c>
      <c r="E42" s="4"/>
      <c r="F42" s="38">
        <v>350000</v>
      </c>
      <c r="G42" s="5">
        <f t="shared" si="0"/>
        <v>386456</v>
      </c>
    </row>
    <row r="43" spans="2:7" ht="18.75" customHeight="1">
      <c r="B43" s="1">
        <v>37</v>
      </c>
      <c r="C43" s="2">
        <v>46206</v>
      </c>
      <c r="D43" s="10" t="s">
        <v>610</v>
      </c>
      <c r="E43" s="4"/>
      <c r="F43" s="33">
        <v>350000</v>
      </c>
      <c r="G43" s="5">
        <f t="shared" si="0"/>
        <v>36456</v>
      </c>
    </row>
    <row r="44" spans="2:7" ht="18.75" customHeight="1">
      <c r="B44" s="1">
        <v>38</v>
      </c>
      <c r="C44" s="2">
        <v>46206</v>
      </c>
      <c r="D44" s="10" t="s">
        <v>611</v>
      </c>
      <c r="E44" s="4"/>
      <c r="F44" s="33">
        <v>640000</v>
      </c>
      <c r="G44" s="5">
        <f t="shared" si="0"/>
        <v>-603544</v>
      </c>
    </row>
    <row r="45" spans="2:7" ht="18.75" customHeight="1">
      <c r="B45" s="1">
        <v>39</v>
      </c>
      <c r="C45" s="2">
        <v>46207</v>
      </c>
      <c r="D45" s="10" t="s">
        <v>612</v>
      </c>
      <c r="E45" s="4"/>
      <c r="F45" s="33">
        <v>1500000</v>
      </c>
      <c r="G45" s="5">
        <f t="shared" si="0"/>
        <v>-2103544</v>
      </c>
    </row>
    <row r="46" spans="2:7" ht="18.75" customHeight="1">
      <c r="B46" s="1">
        <v>40</v>
      </c>
      <c r="C46" s="2">
        <v>46207</v>
      </c>
      <c r="D46" s="10" t="s">
        <v>365</v>
      </c>
      <c r="E46" s="4"/>
      <c r="F46" s="34">
        <v>1255000</v>
      </c>
      <c r="G46" s="5">
        <f t="shared" si="0"/>
        <v>-3358544</v>
      </c>
    </row>
    <row r="47" spans="2:7" ht="18.75" customHeight="1">
      <c r="B47" s="1">
        <v>41</v>
      </c>
      <c r="C47" s="2">
        <v>46208</v>
      </c>
      <c r="D47" s="10" t="s">
        <v>437</v>
      </c>
      <c r="E47" s="4"/>
      <c r="F47" s="34">
        <v>3500000</v>
      </c>
      <c r="G47" s="5">
        <f t="shared" si="0"/>
        <v>-6858544</v>
      </c>
    </row>
    <row r="48" spans="2:7" ht="18.75" customHeight="1">
      <c r="B48" s="1">
        <v>42</v>
      </c>
      <c r="C48" s="2">
        <v>46209</v>
      </c>
      <c r="D48" s="10" t="s">
        <v>613</v>
      </c>
      <c r="E48" s="4"/>
      <c r="F48" s="33">
        <v>273000</v>
      </c>
      <c r="G48" s="5">
        <f t="shared" si="0"/>
        <v>-7131544</v>
      </c>
    </row>
    <row r="49" spans="2:7" ht="18.75" customHeight="1">
      <c r="B49" s="1">
        <v>43</v>
      </c>
      <c r="C49" s="2">
        <v>46209</v>
      </c>
      <c r="D49" s="10" t="s">
        <v>614</v>
      </c>
      <c r="E49" s="4"/>
      <c r="F49" s="33">
        <v>1490000</v>
      </c>
      <c r="G49" s="5">
        <f t="shared" si="0"/>
        <v>-8621544</v>
      </c>
    </row>
    <row r="50" spans="2:7" ht="18.75" customHeight="1">
      <c r="B50" s="1">
        <v>44</v>
      </c>
      <c r="C50" s="2">
        <v>46209</v>
      </c>
      <c r="D50" s="10" t="s">
        <v>560</v>
      </c>
      <c r="E50" s="4">
        <v>19000000</v>
      </c>
      <c r="F50" s="4"/>
      <c r="G50" s="5">
        <f>G49+E50</f>
        <v>10378456</v>
      </c>
    </row>
    <row r="51" spans="2:7" ht="18.75" customHeight="1">
      <c r="B51" s="1">
        <v>45</v>
      </c>
      <c r="C51" s="2">
        <v>46209</v>
      </c>
      <c r="D51" s="10" t="s">
        <v>124</v>
      </c>
      <c r="E51" s="4"/>
      <c r="F51" s="38">
        <v>126500</v>
      </c>
      <c r="G51" s="5">
        <f>G50-F51</f>
        <v>10251956</v>
      </c>
    </row>
    <row r="52" spans="2:7" ht="18.75" customHeight="1">
      <c r="B52" s="1">
        <v>46</v>
      </c>
      <c r="C52" s="2">
        <v>46210</v>
      </c>
      <c r="D52" s="10" t="s">
        <v>615</v>
      </c>
      <c r="E52" s="4"/>
      <c r="F52" s="33">
        <v>358000</v>
      </c>
      <c r="G52" s="5">
        <f t="shared" ref="G52:G65" si="1">G51-F52</f>
        <v>9893956</v>
      </c>
    </row>
    <row r="53" spans="2:7" ht="18.75" customHeight="1">
      <c r="B53" s="1">
        <v>47</v>
      </c>
      <c r="C53" s="2">
        <v>46210</v>
      </c>
      <c r="D53" s="10" t="s">
        <v>616</v>
      </c>
      <c r="E53" s="4"/>
      <c r="F53" s="33">
        <v>168000</v>
      </c>
      <c r="G53" s="5">
        <f t="shared" si="1"/>
        <v>9725956</v>
      </c>
    </row>
    <row r="54" spans="2:7" ht="18.75" customHeight="1">
      <c r="B54" s="1">
        <v>48</v>
      </c>
      <c r="C54" s="2">
        <v>46210</v>
      </c>
      <c r="D54" s="10" t="s">
        <v>617</v>
      </c>
      <c r="E54" s="4"/>
      <c r="F54" s="33">
        <v>100000</v>
      </c>
      <c r="G54" s="5">
        <f t="shared" si="1"/>
        <v>9625956</v>
      </c>
    </row>
    <row r="55" spans="2:7" ht="18.75" customHeight="1">
      <c r="B55" s="1">
        <v>49</v>
      </c>
      <c r="C55" s="2">
        <v>46210</v>
      </c>
      <c r="D55" s="10" t="s">
        <v>618</v>
      </c>
      <c r="E55" s="4"/>
      <c r="F55" s="33">
        <v>300000</v>
      </c>
      <c r="G55" s="5">
        <f t="shared" si="1"/>
        <v>9325956</v>
      </c>
    </row>
    <row r="56" spans="2:7" ht="18.75" customHeight="1">
      <c r="B56" s="1">
        <v>50</v>
      </c>
      <c r="C56" s="2">
        <v>46211</v>
      </c>
      <c r="D56" s="10" t="s">
        <v>619</v>
      </c>
      <c r="E56" s="4"/>
      <c r="F56" s="33">
        <v>15000</v>
      </c>
      <c r="G56" s="5">
        <f t="shared" si="1"/>
        <v>9310956</v>
      </c>
    </row>
    <row r="57" spans="2:7" ht="18.75" customHeight="1">
      <c r="B57" s="1">
        <v>51</v>
      </c>
      <c r="C57" s="2">
        <v>46211</v>
      </c>
      <c r="D57" s="10" t="s">
        <v>620</v>
      </c>
      <c r="E57" s="4"/>
      <c r="F57" s="34">
        <v>1200000</v>
      </c>
      <c r="G57" s="5">
        <f t="shared" si="1"/>
        <v>8110956</v>
      </c>
    </row>
    <row r="58" spans="2:7" ht="18.75" customHeight="1">
      <c r="B58" s="1">
        <v>52</v>
      </c>
      <c r="C58" s="2">
        <v>46211</v>
      </c>
      <c r="D58" s="10" t="s">
        <v>621</v>
      </c>
      <c r="E58" s="4"/>
      <c r="F58" s="33">
        <v>1500000</v>
      </c>
      <c r="G58" s="5">
        <f t="shared" si="1"/>
        <v>6610956</v>
      </c>
    </row>
    <row r="59" spans="2:7" ht="18.75" customHeight="1">
      <c r="B59" s="1">
        <v>53</v>
      </c>
      <c r="C59" s="2">
        <v>46212</v>
      </c>
      <c r="D59" s="10" t="s">
        <v>622</v>
      </c>
      <c r="E59" s="4"/>
      <c r="F59" s="33">
        <v>112000</v>
      </c>
      <c r="G59" s="5">
        <f t="shared" si="1"/>
        <v>6498956</v>
      </c>
    </row>
    <row r="60" spans="2:7" ht="18.75" customHeight="1">
      <c r="B60" s="1">
        <v>54</v>
      </c>
      <c r="C60" s="2">
        <v>46212</v>
      </c>
      <c r="D60" s="10" t="s">
        <v>623</v>
      </c>
      <c r="E60" s="4"/>
      <c r="F60" s="33">
        <v>1775000</v>
      </c>
      <c r="G60" s="5">
        <f t="shared" si="1"/>
        <v>4723956</v>
      </c>
    </row>
    <row r="61" spans="2:7" ht="18.75" customHeight="1">
      <c r="B61" s="1">
        <v>55</v>
      </c>
      <c r="C61" s="2">
        <v>46213</v>
      </c>
      <c r="D61" s="10" t="s">
        <v>624</v>
      </c>
      <c r="E61" s="4"/>
      <c r="F61" s="33">
        <v>117000</v>
      </c>
      <c r="G61" s="5">
        <f t="shared" si="1"/>
        <v>4606956</v>
      </c>
    </row>
    <row r="62" spans="2:7" ht="18.75" customHeight="1">
      <c r="B62" s="1">
        <v>56</v>
      </c>
      <c r="C62" s="2">
        <v>46213</v>
      </c>
      <c r="D62" s="10" t="s">
        <v>625</v>
      </c>
      <c r="E62" s="4"/>
      <c r="F62" s="33">
        <v>168480</v>
      </c>
      <c r="G62" s="5">
        <f t="shared" si="1"/>
        <v>4438476</v>
      </c>
    </row>
    <row r="63" spans="2:7" ht="18.75" customHeight="1">
      <c r="B63" s="1">
        <v>57</v>
      </c>
      <c r="C63" s="2">
        <v>46213</v>
      </c>
      <c r="D63" s="10" t="s">
        <v>626</v>
      </c>
      <c r="E63" s="4"/>
      <c r="F63" s="33">
        <v>110000</v>
      </c>
      <c r="G63" s="5">
        <f t="shared" si="1"/>
        <v>4328476</v>
      </c>
    </row>
    <row r="64" spans="2:7" ht="18.75" customHeight="1">
      <c r="B64" s="1">
        <v>58</v>
      </c>
      <c r="C64" s="2">
        <v>46215</v>
      </c>
      <c r="D64" s="10" t="s">
        <v>439</v>
      </c>
      <c r="E64" s="4"/>
      <c r="F64" s="33">
        <v>140225</v>
      </c>
      <c r="G64" s="5">
        <f t="shared" si="1"/>
        <v>4188251</v>
      </c>
    </row>
    <row r="65" spans="2:7" ht="18.75" customHeight="1">
      <c r="B65" s="1">
        <v>59</v>
      </c>
      <c r="C65" s="2">
        <v>46217</v>
      </c>
      <c r="D65" s="10" t="s">
        <v>365</v>
      </c>
      <c r="E65" s="4"/>
      <c r="F65" s="34">
        <v>1435000</v>
      </c>
      <c r="G65" s="5">
        <f t="shared" si="1"/>
        <v>2753251</v>
      </c>
    </row>
    <row r="66" spans="2:7" ht="18.75" customHeight="1">
      <c r="B66" s="1">
        <v>60</v>
      </c>
      <c r="C66" s="2">
        <v>46224</v>
      </c>
      <c r="D66" s="10" t="s">
        <v>536</v>
      </c>
      <c r="E66" s="4">
        <v>19000000</v>
      </c>
      <c r="F66" s="4"/>
      <c r="G66" s="5">
        <f>G65+E66</f>
        <v>21753251</v>
      </c>
    </row>
    <row r="67" spans="2:7" ht="18.75" customHeight="1" thickTop="1" thickBot="1">
      <c r="B67" s="66" t="s">
        <v>337</v>
      </c>
      <c r="C67" s="97"/>
      <c r="D67" s="67"/>
      <c r="E67" s="9">
        <f>SUM(E7:E66)</f>
        <v>76000000</v>
      </c>
      <c r="F67" s="9">
        <f>SUM(F7:F66)</f>
        <v>54246749</v>
      </c>
      <c r="G67" s="60">
        <f>E67-F67</f>
        <v>21753251</v>
      </c>
    </row>
    <row r="68" spans="2:7" ht="15.75" thickTop="1">
      <c r="G68" s="55">
        <f>G67/E67</f>
        <v>0.28622698684210524</v>
      </c>
    </row>
  </sheetData>
  <mergeCells count="5">
    <mergeCell ref="B2:G2"/>
    <mergeCell ref="B3:G3"/>
    <mergeCell ref="B4:G4"/>
    <mergeCell ref="B5:G5"/>
    <mergeCell ref="B67:D67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89EE-D0B7-1049-BF3F-AAD0B3CCA76E}">
  <dimension ref="B1:J55"/>
  <sheetViews>
    <sheetView topLeftCell="A4" workbookViewId="0">
      <selection activeCell="B2" sqref="B2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627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46160</v>
      </c>
      <c r="D7" s="3" t="s">
        <v>536</v>
      </c>
      <c r="E7" s="4">
        <v>51000000</v>
      </c>
      <c r="F7" s="4"/>
      <c r="G7" s="5">
        <f>E7</f>
        <v>51000000</v>
      </c>
      <c r="I7" s="16" t="s">
        <v>27</v>
      </c>
      <c r="J7" s="39">
        <f>SUM(F8:F19)+SUM(F21:F22)+F24+SUM(F26:F27)+SUM(F29:F30)+SUM(F34:F36)+SUM(F38:F38)+F40+F43+F45+SUM(F50:F51)</f>
        <v>17453043</v>
      </c>
    </row>
    <row r="8" spans="2:10" ht="18.75" customHeight="1">
      <c r="B8" s="1">
        <v>2</v>
      </c>
      <c r="C8" s="2">
        <v>46160</v>
      </c>
      <c r="D8" s="3" t="s">
        <v>628</v>
      </c>
      <c r="E8" s="4"/>
      <c r="F8" s="33">
        <v>1100000</v>
      </c>
      <c r="G8" s="5">
        <f>G7-F8</f>
        <v>49900000</v>
      </c>
      <c r="I8" s="17" t="s">
        <v>28</v>
      </c>
      <c r="J8" s="5">
        <f>F23+F25+F28+SUM(F31:F33)+F37+F39+F42+SUM(F46:F48)+SUM(F52:F53)</f>
        <v>13833000</v>
      </c>
    </row>
    <row r="9" spans="2:10" ht="18.75" customHeight="1">
      <c r="B9" s="1">
        <v>3</v>
      </c>
      <c r="C9" s="2">
        <v>46160</v>
      </c>
      <c r="D9" s="3" t="s">
        <v>629</v>
      </c>
      <c r="E9" s="4"/>
      <c r="F9" s="33">
        <v>100000</v>
      </c>
      <c r="G9" s="5">
        <f>G8-F9</f>
        <v>49800000</v>
      </c>
      <c r="I9" s="18" t="s">
        <v>29</v>
      </c>
      <c r="J9" s="5"/>
    </row>
    <row r="10" spans="2:10" ht="18.75" customHeight="1" thickBot="1">
      <c r="B10" s="1">
        <v>4</v>
      </c>
      <c r="C10" s="2">
        <v>46161</v>
      </c>
      <c r="D10" s="3" t="s">
        <v>367</v>
      </c>
      <c r="E10" s="4"/>
      <c r="F10" s="33">
        <v>100000</v>
      </c>
      <c r="G10" s="5">
        <f>G9-F10</f>
        <v>49700000</v>
      </c>
      <c r="I10" s="37" t="s">
        <v>30</v>
      </c>
      <c r="J10" s="15">
        <f>F20+F41+F44+F49</f>
        <v>567000</v>
      </c>
    </row>
    <row r="11" spans="2:10" ht="18.75" customHeight="1" thickTop="1">
      <c r="B11" s="1">
        <v>5</v>
      </c>
      <c r="C11" s="2">
        <v>46161</v>
      </c>
      <c r="D11" s="3" t="s">
        <v>630</v>
      </c>
      <c r="E11" s="4"/>
      <c r="F11" s="33">
        <v>925000</v>
      </c>
      <c r="G11" s="5">
        <f>G10-F11</f>
        <v>48775000</v>
      </c>
      <c r="J11" s="35">
        <f>SUM(J7:J10)</f>
        <v>31853043</v>
      </c>
    </row>
    <row r="12" spans="2:10" ht="18.75" customHeight="1">
      <c r="B12" s="1">
        <v>6</v>
      </c>
      <c r="C12" s="2">
        <v>46161</v>
      </c>
      <c r="D12" s="3" t="s">
        <v>499</v>
      </c>
      <c r="E12" s="4"/>
      <c r="F12" s="33">
        <v>13000</v>
      </c>
      <c r="G12" s="5">
        <f>G11-F12</f>
        <v>48762000</v>
      </c>
    </row>
    <row r="13" spans="2:10" ht="18.75" customHeight="1">
      <c r="B13" s="1">
        <v>7</v>
      </c>
      <c r="C13" s="2">
        <v>46162</v>
      </c>
      <c r="D13" s="10" t="s">
        <v>631</v>
      </c>
      <c r="E13" s="4"/>
      <c r="F13" s="33">
        <v>150000</v>
      </c>
      <c r="G13" s="5">
        <f>G12-F13</f>
        <v>48612000</v>
      </c>
      <c r="I13" t="s">
        <v>437</v>
      </c>
      <c r="J13" s="35">
        <f>F23+F32+F46+F47</f>
        <v>6000000</v>
      </c>
    </row>
    <row r="14" spans="2:10" ht="18.75" customHeight="1">
      <c r="B14" s="1">
        <v>8</v>
      </c>
      <c r="C14" s="2">
        <v>46162</v>
      </c>
      <c r="D14" s="10" t="s">
        <v>632</v>
      </c>
      <c r="E14" s="4"/>
      <c r="F14" s="33">
        <v>100000</v>
      </c>
      <c r="G14" s="5">
        <f>G13-F14</f>
        <v>48512000</v>
      </c>
      <c r="I14" t="s">
        <v>404</v>
      </c>
      <c r="J14" s="35">
        <f>7500000-J13</f>
        <v>1500000</v>
      </c>
    </row>
    <row r="15" spans="2:10" ht="18.75" customHeight="1">
      <c r="B15" s="1">
        <v>9</v>
      </c>
      <c r="C15" s="2">
        <v>46163</v>
      </c>
      <c r="D15" s="10" t="s">
        <v>633</v>
      </c>
      <c r="E15" s="4"/>
      <c r="F15" s="33">
        <v>323000</v>
      </c>
      <c r="G15" s="5">
        <f t="shared" ref="G15:G24" si="0">G14-F15</f>
        <v>48189000</v>
      </c>
    </row>
    <row r="16" spans="2:10" ht="18.75" customHeight="1">
      <c r="B16" s="1">
        <v>10</v>
      </c>
      <c r="C16" s="2">
        <v>46163</v>
      </c>
      <c r="D16" s="10" t="s">
        <v>433</v>
      </c>
      <c r="E16" s="4"/>
      <c r="F16" s="33">
        <v>2031000</v>
      </c>
      <c r="G16" s="5">
        <f t="shared" si="0"/>
        <v>46158000</v>
      </c>
      <c r="J16" s="35"/>
    </row>
    <row r="17" spans="2:10" ht="18.75" customHeight="1">
      <c r="B17" s="1">
        <v>11</v>
      </c>
      <c r="C17" s="2">
        <v>46163</v>
      </c>
      <c r="D17" s="10" t="s">
        <v>634</v>
      </c>
      <c r="E17" s="4"/>
      <c r="F17" s="33">
        <v>989000</v>
      </c>
      <c r="G17" s="5">
        <f t="shared" si="0"/>
        <v>45169000</v>
      </c>
    </row>
    <row r="18" spans="2:10" ht="18.75" customHeight="1">
      <c r="B18" s="1">
        <v>12</v>
      </c>
      <c r="C18" s="2">
        <v>46163</v>
      </c>
      <c r="D18" s="10" t="s">
        <v>635</v>
      </c>
      <c r="E18" s="4"/>
      <c r="F18" s="33">
        <v>38000</v>
      </c>
      <c r="G18" s="5">
        <f t="shared" si="0"/>
        <v>45131000</v>
      </c>
      <c r="J18" s="35"/>
    </row>
    <row r="19" spans="2:10" ht="18.75" customHeight="1">
      <c r="B19" s="1">
        <v>13</v>
      </c>
      <c r="C19" s="2">
        <v>46163</v>
      </c>
      <c r="D19" s="10" t="s">
        <v>450</v>
      </c>
      <c r="E19" s="4"/>
      <c r="F19" s="33">
        <v>1976600</v>
      </c>
      <c r="G19" s="5">
        <f t="shared" si="0"/>
        <v>43154400</v>
      </c>
    </row>
    <row r="20" spans="2:10" ht="18.75" customHeight="1">
      <c r="B20" s="1">
        <v>14</v>
      </c>
      <c r="C20" s="2">
        <v>46164</v>
      </c>
      <c r="D20" s="10" t="s">
        <v>636</v>
      </c>
      <c r="E20" s="4"/>
      <c r="F20" s="38">
        <v>65000</v>
      </c>
      <c r="G20" s="5">
        <f t="shared" si="0"/>
        <v>43089400</v>
      </c>
      <c r="J20" s="35"/>
    </row>
    <row r="21" spans="2:10" ht="18.75" customHeight="1">
      <c r="B21" s="1">
        <v>15</v>
      </c>
      <c r="C21" s="2">
        <v>46164</v>
      </c>
      <c r="D21" s="10" t="s">
        <v>637</v>
      </c>
      <c r="E21" s="4"/>
      <c r="F21" s="33">
        <v>511000</v>
      </c>
      <c r="G21" s="5">
        <f t="shared" si="0"/>
        <v>42578400</v>
      </c>
    </row>
    <row r="22" spans="2:10" ht="18.75" customHeight="1">
      <c r="B22" s="1">
        <v>16</v>
      </c>
      <c r="C22" s="2">
        <v>46165</v>
      </c>
      <c r="D22" s="10" t="s">
        <v>638</v>
      </c>
      <c r="E22" s="4"/>
      <c r="F22" s="33">
        <v>190000</v>
      </c>
      <c r="G22" s="5">
        <f t="shared" si="0"/>
        <v>42388400</v>
      </c>
    </row>
    <row r="23" spans="2:10" ht="18.75" customHeight="1">
      <c r="B23" s="1">
        <v>17</v>
      </c>
      <c r="C23" s="2">
        <v>46165</v>
      </c>
      <c r="D23" s="10" t="s">
        <v>437</v>
      </c>
      <c r="E23" s="4"/>
      <c r="F23" s="34">
        <v>2000000</v>
      </c>
      <c r="G23" s="5">
        <f t="shared" si="0"/>
        <v>40388400</v>
      </c>
    </row>
    <row r="24" spans="2:10" ht="18.75" customHeight="1">
      <c r="B24" s="1">
        <v>18</v>
      </c>
      <c r="C24" s="2">
        <v>46165</v>
      </c>
      <c r="D24" s="10" t="s">
        <v>639</v>
      </c>
      <c r="E24" s="4"/>
      <c r="F24" s="33">
        <v>2265000</v>
      </c>
      <c r="G24" s="5">
        <f t="shared" si="0"/>
        <v>38123400</v>
      </c>
    </row>
    <row r="25" spans="2:10" ht="18.75" customHeight="1">
      <c r="B25" s="1">
        <v>19</v>
      </c>
      <c r="C25" s="2">
        <v>46165</v>
      </c>
      <c r="D25" s="10" t="s">
        <v>365</v>
      </c>
      <c r="E25" s="4"/>
      <c r="F25" s="34">
        <v>700000</v>
      </c>
      <c r="G25" s="5">
        <f>G24-F25</f>
        <v>37423400</v>
      </c>
    </row>
    <row r="26" spans="2:10" ht="18.75" customHeight="1">
      <c r="B26" s="1">
        <v>20</v>
      </c>
      <c r="C26" s="2">
        <v>46167</v>
      </c>
      <c r="D26" s="10" t="s">
        <v>434</v>
      </c>
      <c r="E26" s="4"/>
      <c r="F26" s="33">
        <v>48000</v>
      </c>
      <c r="G26" s="5">
        <f>G25-F26</f>
        <v>37375400</v>
      </c>
    </row>
    <row r="27" spans="2:10" ht="18.75" customHeight="1">
      <c r="B27" s="1">
        <v>21</v>
      </c>
      <c r="C27" s="2">
        <v>46167</v>
      </c>
      <c r="D27" s="10" t="s">
        <v>434</v>
      </c>
      <c r="E27" s="4"/>
      <c r="F27" s="33">
        <v>75000</v>
      </c>
      <c r="G27" s="5">
        <f>G26-F27</f>
        <v>37300400</v>
      </c>
    </row>
    <row r="28" spans="2:10" ht="18.75" customHeight="1">
      <c r="B28" s="1">
        <v>22</v>
      </c>
      <c r="C28" s="2">
        <v>46168</v>
      </c>
      <c r="D28" s="10" t="s">
        <v>360</v>
      </c>
      <c r="E28" s="4"/>
      <c r="F28" s="34">
        <v>500000</v>
      </c>
      <c r="G28" s="5">
        <f>G27-F28</f>
        <v>36800400</v>
      </c>
    </row>
    <row r="29" spans="2:10" ht="18.75" customHeight="1">
      <c r="B29" s="1">
        <v>23</v>
      </c>
      <c r="C29" s="2">
        <v>46170</v>
      </c>
      <c r="D29" s="10" t="s">
        <v>640</v>
      </c>
      <c r="E29" s="4"/>
      <c r="F29" s="33">
        <v>283000</v>
      </c>
      <c r="G29" s="5">
        <f>G28-F29</f>
        <v>36517400</v>
      </c>
    </row>
    <row r="30" spans="2:10" ht="18.75" customHeight="1">
      <c r="B30" s="1">
        <v>24</v>
      </c>
      <c r="C30" s="2">
        <v>46172</v>
      </c>
      <c r="D30" s="10" t="s">
        <v>641</v>
      </c>
      <c r="E30" s="4"/>
      <c r="F30" s="33">
        <v>579300</v>
      </c>
      <c r="G30" s="5">
        <f t="shared" ref="G30:G52" si="1">G29-F30</f>
        <v>35938100</v>
      </c>
    </row>
    <row r="31" spans="2:10" ht="18.75" customHeight="1">
      <c r="B31" s="1">
        <v>25</v>
      </c>
      <c r="C31" s="2">
        <v>46172</v>
      </c>
      <c r="D31" s="10" t="s">
        <v>365</v>
      </c>
      <c r="E31" s="4"/>
      <c r="F31" s="34">
        <v>1460000</v>
      </c>
      <c r="G31" s="5">
        <f t="shared" si="1"/>
        <v>34478100</v>
      </c>
    </row>
    <row r="32" spans="2:10" ht="18.75" customHeight="1">
      <c r="B32" s="1">
        <v>26</v>
      </c>
      <c r="C32" s="2">
        <v>46172</v>
      </c>
      <c r="D32" s="10" t="s">
        <v>437</v>
      </c>
      <c r="E32" s="4"/>
      <c r="F32" s="34">
        <v>1000000</v>
      </c>
      <c r="G32" s="5">
        <f t="shared" si="1"/>
        <v>33478100</v>
      </c>
    </row>
    <row r="33" spans="2:7" ht="18.75" customHeight="1">
      <c r="B33" s="1">
        <v>27</v>
      </c>
      <c r="C33" s="2">
        <v>46174</v>
      </c>
      <c r="D33" s="10" t="s">
        <v>245</v>
      </c>
      <c r="E33" s="4"/>
      <c r="F33" s="34">
        <v>146000</v>
      </c>
      <c r="G33" s="5">
        <f t="shared" si="1"/>
        <v>33332100</v>
      </c>
    </row>
    <row r="34" spans="2:7" ht="18.75" customHeight="1">
      <c r="B34" s="1">
        <v>28</v>
      </c>
      <c r="C34" s="2">
        <v>46175</v>
      </c>
      <c r="D34" s="10" t="s">
        <v>642</v>
      </c>
      <c r="E34" s="4"/>
      <c r="F34" s="33">
        <v>146843</v>
      </c>
      <c r="G34" s="5">
        <f t="shared" si="1"/>
        <v>33185257</v>
      </c>
    </row>
    <row r="35" spans="2:7" ht="18.75" customHeight="1">
      <c r="B35" s="1">
        <v>29</v>
      </c>
      <c r="C35" s="2">
        <v>46175</v>
      </c>
      <c r="D35" s="10" t="s">
        <v>465</v>
      </c>
      <c r="E35" s="4"/>
      <c r="F35" s="33">
        <v>2252000</v>
      </c>
      <c r="G35" s="5">
        <f t="shared" si="1"/>
        <v>30933257</v>
      </c>
    </row>
    <row r="36" spans="2:7" ht="18.75" customHeight="1">
      <c r="B36" s="1">
        <v>30</v>
      </c>
      <c r="C36" s="2">
        <v>46175</v>
      </c>
      <c r="D36" s="10" t="s">
        <v>643</v>
      </c>
      <c r="E36" s="4"/>
      <c r="F36" s="33">
        <v>925000</v>
      </c>
      <c r="G36" s="5">
        <f t="shared" si="1"/>
        <v>30008257</v>
      </c>
    </row>
    <row r="37" spans="2:7" ht="18.75" customHeight="1">
      <c r="B37" s="1">
        <v>31</v>
      </c>
      <c r="C37" s="2">
        <v>46175</v>
      </c>
      <c r="D37" s="10" t="s">
        <v>437</v>
      </c>
      <c r="E37" s="4"/>
      <c r="F37" s="34">
        <v>1000000</v>
      </c>
      <c r="G37" s="5">
        <f t="shared" si="1"/>
        <v>29008257</v>
      </c>
    </row>
    <row r="38" spans="2:7" ht="18.75" customHeight="1">
      <c r="B38" s="1">
        <v>32</v>
      </c>
      <c r="C38" s="2">
        <v>46177</v>
      </c>
      <c r="D38" s="10" t="s">
        <v>644</v>
      </c>
      <c r="E38" s="4"/>
      <c r="F38" s="33">
        <v>863000</v>
      </c>
      <c r="G38" s="5">
        <f t="shared" si="1"/>
        <v>28145257</v>
      </c>
    </row>
    <row r="39" spans="2:7" ht="18.75" customHeight="1">
      <c r="B39" s="1">
        <v>33</v>
      </c>
      <c r="C39" s="2">
        <v>46177</v>
      </c>
      <c r="D39" s="10" t="s">
        <v>365</v>
      </c>
      <c r="E39" s="4"/>
      <c r="F39" s="34">
        <v>1327000</v>
      </c>
      <c r="G39" s="5">
        <f t="shared" si="1"/>
        <v>26818257</v>
      </c>
    </row>
    <row r="40" spans="2:7" ht="18.75" customHeight="1">
      <c r="B40" s="1">
        <v>34</v>
      </c>
      <c r="C40" s="2">
        <v>46177</v>
      </c>
      <c r="D40" s="10" t="s">
        <v>434</v>
      </c>
      <c r="E40" s="4"/>
      <c r="F40" s="33">
        <v>192000</v>
      </c>
      <c r="G40" s="5">
        <f t="shared" si="1"/>
        <v>26626257</v>
      </c>
    </row>
    <row r="41" spans="2:7" ht="18.75" customHeight="1">
      <c r="B41" s="1">
        <v>35</v>
      </c>
      <c r="C41" s="2">
        <v>46178</v>
      </c>
      <c r="D41" s="10" t="s">
        <v>245</v>
      </c>
      <c r="E41" s="4"/>
      <c r="F41" s="38">
        <v>31000</v>
      </c>
      <c r="G41" s="5">
        <f t="shared" si="1"/>
        <v>26595257</v>
      </c>
    </row>
    <row r="42" spans="2:7" ht="18.75" customHeight="1">
      <c r="B42" s="1">
        <v>36</v>
      </c>
      <c r="C42" s="2">
        <v>46178</v>
      </c>
      <c r="D42" s="10" t="s">
        <v>645</v>
      </c>
      <c r="E42" s="4"/>
      <c r="F42" s="34">
        <v>500000</v>
      </c>
      <c r="G42" s="5">
        <f t="shared" si="1"/>
        <v>26095257</v>
      </c>
    </row>
    <row r="43" spans="2:7" ht="18.75" customHeight="1">
      <c r="B43" s="1">
        <v>37</v>
      </c>
      <c r="C43" s="2">
        <v>46178</v>
      </c>
      <c r="D43" s="10" t="s">
        <v>646</v>
      </c>
      <c r="E43" s="4"/>
      <c r="F43" s="33">
        <v>957300</v>
      </c>
      <c r="G43" s="5">
        <f t="shared" si="1"/>
        <v>25137957</v>
      </c>
    </row>
    <row r="44" spans="2:7" ht="18.75" customHeight="1">
      <c r="B44" s="1">
        <v>38</v>
      </c>
      <c r="C44" s="2">
        <v>46179</v>
      </c>
      <c r="D44" s="10" t="s">
        <v>454</v>
      </c>
      <c r="E44" s="4"/>
      <c r="F44" s="38">
        <v>330000</v>
      </c>
      <c r="G44" s="5">
        <f t="shared" si="1"/>
        <v>24807957</v>
      </c>
    </row>
    <row r="45" spans="2:7" ht="18.75" customHeight="1">
      <c r="B45" s="1">
        <v>39</v>
      </c>
      <c r="C45" s="2">
        <v>46179</v>
      </c>
      <c r="D45" s="10" t="s">
        <v>647</v>
      </c>
      <c r="E45" s="4"/>
      <c r="F45" s="33">
        <v>155000</v>
      </c>
      <c r="G45" s="5">
        <f t="shared" si="1"/>
        <v>24652957</v>
      </c>
    </row>
    <row r="46" spans="2:7" ht="18.75" customHeight="1">
      <c r="B46" s="1">
        <v>40</v>
      </c>
      <c r="C46" s="2">
        <v>46180</v>
      </c>
      <c r="D46" s="10" t="s">
        <v>437</v>
      </c>
      <c r="E46" s="4"/>
      <c r="F46" s="34">
        <v>2000000</v>
      </c>
      <c r="G46" s="5">
        <f t="shared" si="1"/>
        <v>22652957</v>
      </c>
    </row>
    <row r="47" spans="2:7" ht="18.75" customHeight="1">
      <c r="B47" s="1">
        <v>41</v>
      </c>
      <c r="C47" s="2">
        <v>46181</v>
      </c>
      <c r="D47" s="10" t="s">
        <v>437</v>
      </c>
      <c r="E47" s="4"/>
      <c r="F47" s="34">
        <v>1000000</v>
      </c>
      <c r="G47" s="5">
        <f t="shared" si="1"/>
        <v>21652957</v>
      </c>
    </row>
    <row r="48" spans="2:7" ht="18.75" customHeight="1">
      <c r="B48" s="1">
        <v>42</v>
      </c>
      <c r="C48" s="2">
        <v>46182</v>
      </c>
      <c r="D48" s="10" t="s">
        <v>437</v>
      </c>
      <c r="E48" s="4"/>
      <c r="F48" s="34">
        <v>500000</v>
      </c>
      <c r="G48" s="5">
        <f t="shared" si="1"/>
        <v>21152957</v>
      </c>
    </row>
    <row r="49" spans="2:7" ht="18.75" customHeight="1">
      <c r="B49" s="1">
        <v>43</v>
      </c>
      <c r="C49" s="2">
        <v>46184</v>
      </c>
      <c r="D49" s="10" t="s">
        <v>245</v>
      </c>
      <c r="E49" s="4"/>
      <c r="F49" s="38">
        <v>141000</v>
      </c>
      <c r="G49" s="5">
        <f t="shared" si="1"/>
        <v>21011957</v>
      </c>
    </row>
    <row r="50" spans="2:7" ht="18.75" customHeight="1">
      <c r="B50" s="1">
        <v>44</v>
      </c>
      <c r="C50" s="2">
        <v>46186</v>
      </c>
      <c r="D50" s="10" t="s">
        <v>648</v>
      </c>
      <c r="E50" s="4"/>
      <c r="F50" s="33">
        <v>102000</v>
      </c>
      <c r="G50" s="5">
        <f t="shared" si="1"/>
        <v>20909957</v>
      </c>
    </row>
    <row r="51" spans="2:7" ht="18.75" customHeight="1">
      <c r="B51" s="1">
        <v>45</v>
      </c>
      <c r="C51" s="2">
        <v>46186</v>
      </c>
      <c r="D51" s="10" t="s">
        <v>649</v>
      </c>
      <c r="E51" s="4"/>
      <c r="F51" s="33">
        <v>63000</v>
      </c>
      <c r="G51" s="5">
        <f t="shared" si="1"/>
        <v>20846957</v>
      </c>
    </row>
    <row r="52" spans="2:7" ht="18.75" customHeight="1">
      <c r="B52" s="1">
        <v>46</v>
      </c>
      <c r="C52" s="2">
        <v>46186</v>
      </c>
      <c r="D52" s="10" t="s">
        <v>437</v>
      </c>
      <c r="E52" s="4"/>
      <c r="F52" s="34">
        <v>1500000</v>
      </c>
      <c r="G52" s="5">
        <f t="shared" si="1"/>
        <v>19346957</v>
      </c>
    </row>
    <row r="53" spans="2:7" ht="18.75" customHeight="1">
      <c r="B53" s="1">
        <v>47</v>
      </c>
      <c r="C53" s="2">
        <v>46187</v>
      </c>
      <c r="D53" s="10" t="s">
        <v>365</v>
      </c>
      <c r="E53" s="4"/>
      <c r="F53" s="34">
        <v>200000</v>
      </c>
      <c r="G53" s="5">
        <f>G52-F53</f>
        <v>19146957</v>
      </c>
    </row>
    <row r="54" spans="2:7" ht="18.75" customHeight="1" thickTop="1" thickBot="1">
      <c r="B54" s="66" t="s">
        <v>337</v>
      </c>
      <c r="C54" s="97"/>
      <c r="D54" s="67"/>
      <c r="E54" s="9">
        <f>SUM(E7:E53)</f>
        <v>51000000</v>
      </c>
      <c r="F54" s="9">
        <f>SUM(F7:F53)</f>
        <v>31853043</v>
      </c>
      <c r="G54" s="60">
        <f>E54-F54</f>
        <v>19146957</v>
      </c>
    </row>
    <row r="55" spans="2:7" ht="15.75" thickTop="1">
      <c r="G55" s="55">
        <f>G54/E54</f>
        <v>0.37543052941176469</v>
      </c>
    </row>
  </sheetData>
  <mergeCells count="5">
    <mergeCell ref="B2:G2"/>
    <mergeCell ref="B3:G3"/>
    <mergeCell ref="B4:G4"/>
    <mergeCell ref="B5:G5"/>
    <mergeCell ref="B54:D54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23DE-6E45-3A4B-A3FF-292A8C34B06A}">
  <dimension ref="B1:J23"/>
  <sheetViews>
    <sheetView workbookViewId="0">
      <selection activeCell="B2" sqref="B2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14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46160</v>
      </c>
      <c r="D7" s="3" t="s">
        <v>372</v>
      </c>
      <c r="E7" s="4">
        <v>8000000</v>
      </c>
      <c r="F7" s="4"/>
      <c r="G7" s="5">
        <f>E7</f>
        <v>8000000</v>
      </c>
      <c r="I7" s="16" t="s">
        <v>27</v>
      </c>
      <c r="J7" s="39">
        <f>SUM(F8:F10)+F12+SUM(F15:F16)</f>
        <v>3937635</v>
      </c>
    </row>
    <row r="8" spans="2:10" ht="18.75" customHeight="1">
      <c r="B8" s="1">
        <v>2</v>
      </c>
      <c r="C8" s="2">
        <v>46163</v>
      </c>
      <c r="D8" s="3" t="s">
        <v>584</v>
      </c>
      <c r="E8" s="4"/>
      <c r="F8" s="33">
        <v>2330000</v>
      </c>
      <c r="G8" s="5">
        <f>G7-F8</f>
        <v>5670000</v>
      </c>
      <c r="I8" s="17" t="s">
        <v>28</v>
      </c>
      <c r="J8" s="5">
        <f>F11+F13+F17+F18</f>
        <v>4000000</v>
      </c>
    </row>
    <row r="9" spans="2:10" ht="18.75" customHeight="1">
      <c r="B9" s="1">
        <v>3</v>
      </c>
      <c r="C9" s="2">
        <v>46163</v>
      </c>
      <c r="D9" s="3" t="s">
        <v>434</v>
      </c>
      <c r="E9" s="4"/>
      <c r="F9" s="33">
        <v>85000</v>
      </c>
      <c r="G9" s="5">
        <f>G8-F9</f>
        <v>5585000</v>
      </c>
      <c r="I9" s="18" t="s">
        <v>29</v>
      </c>
      <c r="J9" s="5"/>
    </row>
    <row r="10" spans="2:10" ht="18.75" customHeight="1" thickBot="1">
      <c r="B10" s="1">
        <v>4</v>
      </c>
      <c r="C10" s="2">
        <v>46164</v>
      </c>
      <c r="D10" s="3" t="s">
        <v>637</v>
      </c>
      <c r="E10" s="4"/>
      <c r="F10" s="33">
        <v>500000</v>
      </c>
      <c r="G10" s="5">
        <f>G9-F10</f>
        <v>5085000</v>
      </c>
      <c r="I10" s="37" t="s">
        <v>30</v>
      </c>
      <c r="J10" s="15">
        <f>F14+SUM(F19:F20)</f>
        <v>474000</v>
      </c>
    </row>
    <row r="11" spans="2:10" ht="18.75" customHeight="1" thickTop="1">
      <c r="B11" s="1">
        <v>5</v>
      </c>
      <c r="C11" s="2">
        <v>46165</v>
      </c>
      <c r="D11" s="3" t="s">
        <v>437</v>
      </c>
      <c r="E11" s="4"/>
      <c r="F11" s="34">
        <v>1500000</v>
      </c>
      <c r="G11" s="5">
        <f>G10-F11</f>
        <v>3585000</v>
      </c>
      <c r="J11" s="35">
        <f>SUM(J7:J10)</f>
        <v>8411635</v>
      </c>
    </row>
    <row r="12" spans="2:10" ht="18.75" customHeight="1">
      <c r="B12" s="1">
        <v>6</v>
      </c>
      <c r="C12" s="2">
        <v>46169</v>
      </c>
      <c r="D12" s="3" t="s">
        <v>650</v>
      </c>
      <c r="E12" s="4"/>
      <c r="F12" s="33">
        <v>256770</v>
      </c>
      <c r="G12" s="5">
        <f>G11-F12</f>
        <v>3328230</v>
      </c>
    </row>
    <row r="13" spans="2:10" ht="18.75" customHeight="1">
      <c r="B13" s="1">
        <v>7</v>
      </c>
      <c r="C13" s="2">
        <v>46172</v>
      </c>
      <c r="D13" s="10" t="s">
        <v>437</v>
      </c>
      <c r="E13" s="4"/>
      <c r="F13" s="34">
        <v>1000000</v>
      </c>
      <c r="G13" s="5">
        <f t="shared" ref="G13:G20" si="0">G12-F13</f>
        <v>2328230</v>
      </c>
      <c r="I13" t="s">
        <v>437</v>
      </c>
      <c r="J13" s="35">
        <f>F11+F13+F17+F18</f>
        <v>4000000</v>
      </c>
    </row>
    <row r="14" spans="2:10" ht="18.75" customHeight="1">
      <c r="B14" s="1">
        <v>8</v>
      </c>
      <c r="C14" s="2">
        <v>46174</v>
      </c>
      <c r="D14" s="10" t="s">
        <v>124</v>
      </c>
      <c r="E14" s="4"/>
      <c r="F14" s="38">
        <v>105000</v>
      </c>
      <c r="G14" s="5">
        <f t="shared" si="0"/>
        <v>2223230</v>
      </c>
      <c r="I14" t="s">
        <v>404</v>
      </c>
      <c r="J14" s="35">
        <f>4000000-J13</f>
        <v>0</v>
      </c>
    </row>
    <row r="15" spans="2:10" ht="18.75" customHeight="1">
      <c r="B15" s="1">
        <v>9</v>
      </c>
      <c r="C15" s="2">
        <v>46175</v>
      </c>
      <c r="D15" s="10" t="s">
        <v>651</v>
      </c>
      <c r="E15" s="4"/>
      <c r="F15" s="33">
        <v>478865</v>
      </c>
      <c r="G15" s="5">
        <f t="shared" si="0"/>
        <v>1744365</v>
      </c>
    </row>
    <row r="16" spans="2:10" ht="18.75" customHeight="1">
      <c r="B16" s="1">
        <v>10</v>
      </c>
      <c r="C16" s="2">
        <v>46177</v>
      </c>
      <c r="D16" s="10" t="s">
        <v>434</v>
      </c>
      <c r="E16" s="4"/>
      <c r="F16" s="33">
        <v>287000</v>
      </c>
      <c r="G16" s="5">
        <f t="shared" si="0"/>
        <v>1457365</v>
      </c>
      <c r="J16" s="35"/>
    </row>
    <row r="17" spans="2:10" ht="18.75" customHeight="1">
      <c r="B17" s="1">
        <v>11</v>
      </c>
      <c r="C17" s="2">
        <v>46177</v>
      </c>
      <c r="D17" s="10" t="s">
        <v>437</v>
      </c>
      <c r="E17" s="4"/>
      <c r="F17" s="34">
        <v>1000000</v>
      </c>
      <c r="G17" s="5">
        <f t="shared" si="0"/>
        <v>457365</v>
      </c>
    </row>
    <row r="18" spans="2:10" ht="18.75" customHeight="1">
      <c r="B18" s="1">
        <v>12</v>
      </c>
      <c r="C18" s="2">
        <v>46180</v>
      </c>
      <c r="D18" s="10" t="s">
        <v>437</v>
      </c>
      <c r="E18" s="4"/>
      <c r="F18" s="34">
        <v>500000</v>
      </c>
      <c r="G18" s="5">
        <f t="shared" si="0"/>
        <v>-42635</v>
      </c>
      <c r="J18" s="35"/>
    </row>
    <row r="19" spans="2:10" ht="18.75" customHeight="1">
      <c r="B19" s="1">
        <v>13</v>
      </c>
      <c r="C19" s="2">
        <v>46180</v>
      </c>
      <c r="D19" s="10" t="s">
        <v>454</v>
      </c>
      <c r="E19" s="4"/>
      <c r="F19" s="38">
        <v>175000</v>
      </c>
      <c r="G19" s="5">
        <f t="shared" si="0"/>
        <v>-217635</v>
      </c>
      <c r="J19" s="35"/>
    </row>
    <row r="20" spans="2:10" ht="18.75" customHeight="1">
      <c r="B20" s="1">
        <v>14</v>
      </c>
      <c r="C20" s="2">
        <v>46180</v>
      </c>
      <c r="D20" s="10" t="s">
        <v>652</v>
      </c>
      <c r="E20" s="4"/>
      <c r="F20" s="38">
        <v>194000</v>
      </c>
      <c r="G20" s="5">
        <f t="shared" si="0"/>
        <v>-411635</v>
      </c>
      <c r="J20" s="35"/>
    </row>
    <row r="21" spans="2:10" ht="18.75" customHeight="1" thickBot="1">
      <c r="B21" s="1">
        <v>14</v>
      </c>
      <c r="C21" s="2">
        <v>46181</v>
      </c>
      <c r="D21" s="10" t="s">
        <v>536</v>
      </c>
      <c r="E21" s="4">
        <v>7000000</v>
      </c>
      <c r="F21" s="4"/>
      <c r="G21" s="5">
        <f>G20+E21</f>
        <v>6588365</v>
      </c>
    </row>
    <row r="22" spans="2:10" ht="18.75" customHeight="1" thickTop="1" thickBot="1">
      <c r="B22" s="66" t="s">
        <v>337</v>
      </c>
      <c r="C22" s="97"/>
      <c r="D22" s="67"/>
      <c r="E22" s="9">
        <f>SUM(E7:E21)</f>
        <v>15000000</v>
      </c>
      <c r="F22" s="9">
        <f>SUM(F7:F20)</f>
        <v>8411635</v>
      </c>
      <c r="G22" s="60">
        <f>E22-F22</f>
        <v>6588365</v>
      </c>
    </row>
    <row r="23" spans="2:10" ht="15.75" thickTop="1">
      <c r="G23" s="55">
        <f>G22/E22</f>
        <v>0.43922433333333333</v>
      </c>
    </row>
  </sheetData>
  <mergeCells count="5">
    <mergeCell ref="B2:G2"/>
    <mergeCell ref="B3:G3"/>
    <mergeCell ref="B4:G4"/>
    <mergeCell ref="B5:G5"/>
    <mergeCell ref="B22:D22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F4FE-AC02-4031-9FDD-F7DE8209B22B}">
  <dimension ref="B1:J54"/>
  <sheetViews>
    <sheetView workbookViewId="0">
      <selection activeCell="B2" sqref="B2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8" max="8" width="9.140625" bestFit="1" customWidth="1"/>
    <col min="9" max="9" width="28.710937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653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46141</v>
      </c>
      <c r="D7" s="3" t="s">
        <v>499</v>
      </c>
      <c r="E7" s="4"/>
      <c r="F7" s="33">
        <v>31000</v>
      </c>
      <c r="G7" s="5">
        <f>-F7</f>
        <v>-31000</v>
      </c>
      <c r="I7" s="16" t="s">
        <v>27</v>
      </c>
      <c r="J7" s="39">
        <f>F7+SUM(F9:F11)+SUM(F13:F14)+F16+SUM(F18:F23)+SUM(F25:F26)+SUM(F29:F30)+SUM(F32:F34)+SUM(F36:F39)+SUM(F41:F43)+SUM(F49:F51)</f>
        <v>25117904</v>
      </c>
    </row>
    <row r="8" spans="2:10" ht="18.75" customHeight="1">
      <c r="B8" s="1">
        <v>2</v>
      </c>
      <c r="C8" s="2">
        <v>46141</v>
      </c>
      <c r="D8" s="3" t="s">
        <v>372</v>
      </c>
      <c r="E8" s="4">
        <v>33000000</v>
      </c>
      <c r="F8" s="4"/>
      <c r="G8" s="5">
        <f>G7+E8</f>
        <v>32969000</v>
      </c>
      <c r="I8" s="17" t="s">
        <v>28</v>
      </c>
      <c r="J8" s="5">
        <f>F12+F15+F17+F24+F27+F31+F35+F40+SUM(F44:F46)+F48</f>
        <v>17800000</v>
      </c>
    </row>
    <row r="9" spans="2:10" ht="18.75" customHeight="1">
      <c r="B9" s="1">
        <v>3</v>
      </c>
      <c r="C9" s="2">
        <v>46144</v>
      </c>
      <c r="D9" s="3" t="s">
        <v>654</v>
      </c>
      <c r="E9" s="4"/>
      <c r="F9" s="33">
        <v>8546000</v>
      </c>
      <c r="G9" s="5">
        <f>G8-F9</f>
        <v>24423000</v>
      </c>
      <c r="I9" s="18" t="s">
        <v>29</v>
      </c>
      <c r="J9" s="5"/>
    </row>
    <row r="10" spans="2:10" ht="18.75" customHeight="1" thickBot="1">
      <c r="B10" s="1">
        <v>4</v>
      </c>
      <c r="C10" s="2">
        <v>46147</v>
      </c>
      <c r="D10" s="3" t="s">
        <v>655</v>
      </c>
      <c r="E10" s="4"/>
      <c r="F10" s="33">
        <v>3085000</v>
      </c>
      <c r="G10" s="5">
        <f>G9-F10</f>
        <v>21338000</v>
      </c>
      <c r="I10" s="37" t="s">
        <v>30</v>
      </c>
      <c r="J10" s="15">
        <f>F28</f>
        <v>325000</v>
      </c>
    </row>
    <row r="11" spans="2:10" ht="18.75" customHeight="1" thickTop="1">
      <c r="B11" s="1">
        <v>5</v>
      </c>
      <c r="C11" s="2">
        <v>46147</v>
      </c>
      <c r="D11" s="3" t="s">
        <v>655</v>
      </c>
      <c r="E11" s="4"/>
      <c r="F11" s="33">
        <v>2214000</v>
      </c>
      <c r="G11" s="5">
        <f>G10-F11</f>
        <v>19124000</v>
      </c>
      <c r="J11" s="35">
        <f>SUM(J7:J10)</f>
        <v>43242904</v>
      </c>
    </row>
    <row r="12" spans="2:10" ht="18.75" customHeight="1">
      <c r="B12" s="1">
        <v>6</v>
      </c>
      <c r="C12" s="2">
        <v>46149</v>
      </c>
      <c r="D12" s="3" t="s">
        <v>437</v>
      </c>
      <c r="E12" s="4"/>
      <c r="F12" s="34">
        <v>1500000</v>
      </c>
      <c r="G12" s="5">
        <f t="shared" ref="G12:G19" si="0">G11-F12</f>
        <v>17624000</v>
      </c>
    </row>
    <row r="13" spans="2:10" ht="18.75" customHeight="1">
      <c r="B13" s="1">
        <v>7</v>
      </c>
      <c r="C13" s="2">
        <v>46149</v>
      </c>
      <c r="D13" s="10" t="s">
        <v>656</v>
      </c>
      <c r="E13" s="4"/>
      <c r="F13" s="33">
        <v>168000</v>
      </c>
      <c r="G13" s="5">
        <f t="shared" si="0"/>
        <v>17456000</v>
      </c>
      <c r="I13" t="s">
        <v>437</v>
      </c>
      <c r="J13" s="35">
        <f>F12+F15+F17+F24+F27+F35+F44+F46</f>
        <v>14000000</v>
      </c>
    </row>
    <row r="14" spans="2:10" ht="18.75" customHeight="1">
      <c r="B14" s="1">
        <v>8</v>
      </c>
      <c r="C14" s="2">
        <v>46151</v>
      </c>
      <c r="D14" s="10" t="s">
        <v>434</v>
      </c>
      <c r="E14" s="4"/>
      <c r="F14" s="33">
        <v>645000</v>
      </c>
      <c r="G14" s="5">
        <f t="shared" si="0"/>
        <v>16811000</v>
      </c>
      <c r="I14" t="s">
        <v>404</v>
      </c>
      <c r="J14" s="35">
        <f>14000000-J13</f>
        <v>0</v>
      </c>
    </row>
    <row r="15" spans="2:10" ht="18.75" customHeight="1">
      <c r="B15" s="1">
        <v>9</v>
      </c>
      <c r="C15" s="2">
        <v>46151</v>
      </c>
      <c r="D15" s="10" t="s">
        <v>437</v>
      </c>
      <c r="E15" s="4"/>
      <c r="F15" s="34">
        <v>2000000</v>
      </c>
      <c r="G15" s="5">
        <f t="shared" si="0"/>
        <v>14811000</v>
      </c>
    </row>
    <row r="16" spans="2:10" ht="18.75" customHeight="1">
      <c r="B16" s="1">
        <v>10</v>
      </c>
      <c r="C16" s="2">
        <v>46151</v>
      </c>
      <c r="D16" s="10" t="s">
        <v>657</v>
      </c>
      <c r="E16" s="4"/>
      <c r="F16" s="33">
        <v>100000</v>
      </c>
      <c r="G16" s="5">
        <f t="shared" si="0"/>
        <v>14711000</v>
      </c>
      <c r="I16" t="s">
        <v>365</v>
      </c>
      <c r="J16" s="35"/>
    </row>
    <row r="17" spans="2:10" ht="18.75" customHeight="1">
      <c r="B17" s="1">
        <v>11</v>
      </c>
      <c r="C17" s="2">
        <v>46153</v>
      </c>
      <c r="D17" s="10" t="s">
        <v>437</v>
      </c>
      <c r="E17" s="4"/>
      <c r="F17" s="34">
        <v>1500000</v>
      </c>
      <c r="G17" s="5">
        <f t="shared" si="0"/>
        <v>13211000</v>
      </c>
    </row>
    <row r="18" spans="2:10" ht="18.75" customHeight="1">
      <c r="B18" s="1">
        <v>12</v>
      </c>
      <c r="C18" s="2">
        <v>46154</v>
      </c>
      <c r="D18" s="10" t="s">
        <v>434</v>
      </c>
      <c r="E18" s="4"/>
      <c r="F18" s="33">
        <v>436000</v>
      </c>
      <c r="G18" s="5">
        <f t="shared" si="0"/>
        <v>12775000</v>
      </c>
      <c r="J18" s="35"/>
    </row>
    <row r="19" spans="2:10" ht="18.75" customHeight="1">
      <c r="B19" s="1">
        <v>13</v>
      </c>
      <c r="C19" s="2">
        <v>46154</v>
      </c>
      <c r="D19" s="10" t="s">
        <v>637</v>
      </c>
      <c r="E19" s="4"/>
      <c r="F19" s="33">
        <v>327000</v>
      </c>
      <c r="G19" s="5">
        <f>G18-F19</f>
        <v>12448000</v>
      </c>
    </row>
    <row r="20" spans="2:10" ht="18.75" customHeight="1">
      <c r="B20" s="1">
        <v>14</v>
      </c>
      <c r="C20" s="2">
        <v>46155</v>
      </c>
      <c r="D20" s="10" t="s">
        <v>658</v>
      </c>
      <c r="E20" s="4"/>
      <c r="F20" s="33">
        <v>240000</v>
      </c>
      <c r="G20" s="5">
        <f t="shared" ref="G20:G31" si="1">G19-F20</f>
        <v>12208000</v>
      </c>
      <c r="J20" s="35"/>
    </row>
    <row r="21" spans="2:10" ht="18.75" customHeight="1">
      <c r="B21" s="1">
        <v>15</v>
      </c>
      <c r="C21" s="2">
        <v>46155</v>
      </c>
      <c r="D21" s="10" t="s">
        <v>659</v>
      </c>
      <c r="E21" s="4"/>
      <c r="F21" s="33">
        <v>94000</v>
      </c>
      <c r="G21" s="5">
        <f t="shared" si="1"/>
        <v>12114000</v>
      </c>
    </row>
    <row r="22" spans="2:10" ht="18.75" customHeight="1">
      <c r="B22" s="1">
        <v>16</v>
      </c>
      <c r="C22" s="2">
        <v>46155</v>
      </c>
      <c r="D22" s="10" t="s">
        <v>660</v>
      </c>
      <c r="E22" s="4"/>
      <c r="F22" s="33">
        <v>1120000</v>
      </c>
      <c r="G22" s="5">
        <f t="shared" si="1"/>
        <v>10994000</v>
      </c>
    </row>
    <row r="23" spans="2:10" ht="18.75" customHeight="1">
      <c r="B23" s="1">
        <v>17</v>
      </c>
      <c r="C23" s="2">
        <v>46156</v>
      </c>
      <c r="D23" s="10" t="s">
        <v>661</v>
      </c>
      <c r="E23" s="4"/>
      <c r="F23" s="33">
        <v>165000</v>
      </c>
      <c r="G23" s="5">
        <f t="shared" si="1"/>
        <v>10829000</v>
      </c>
    </row>
    <row r="24" spans="2:10" ht="18.75" customHeight="1">
      <c r="B24" s="1">
        <v>18</v>
      </c>
      <c r="C24" s="2">
        <v>46156</v>
      </c>
      <c r="D24" s="10" t="s">
        <v>437</v>
      </c>
      <c r="E24" s="4"/>
      <c r="F24" s="34">
        <v>1500000</v>
      </c>
      <c r="G24" s="5">
        <f t="shared" si="1"/>
        <v>9329000</v>
      </c>
    </row>
    <row r="25" spans="2:10" ht="18.75" customHeight="1">
      <c r="B25" s="1">
        <v>19</v>
      </c>
      <c r="C25" s="2">
        <v>46157</v>
      </c>
      <c r="D25" s="10" t="s">
        <v>434</v>
      </c>
      <c r="E25" s="4"/>
      <c r="F25" s="33">
        <v>104000</v>
      </c>
      <c r="G25" s="5">
        <f t="shared" si="1"/>
        <v>9225000</v>
      </c>
    </row>
    <row r="26" spans="2:10" ht="18.75" customHeight="1">
      <c r="B26" s="1">
        <v>20</v>
      </c>
      <c r="C26" s="2">
        <v>46158</v>
      </c>
      <c r="D26" s="10" t="s">
        <v>656</v>
      </c>
      <c r="E26" s="4"/>
      <c r="F26" s="33">
        <v>95000</v>
      </c>
      <c r="G26" s="5">
        <f t="shared" si="1"/>
        <v>9130000</v>
      </c>
    </row>
    <row r="27" spans="2:10" ht="18.75" customHeight="1">
      <c r="B27" s="1">
        <v>21</v>
      </c>
      <c r="C27" s="2">
        <v>46158</v>
      </c>
      <c r="D27" s="10" t="s">
        <v>437</v>
      </c>
      <c r="E27" s="4"/>
      <c r="F27" s="34">
        <v>3500000</v>
      </c>
      <c r="G27" s="5">
        <f t="shared" si="1"/>
        <v>5630000</v>
      </c>
    </row>
    <row r="28" spans="2:10" ht="18.75" customHeight="1">
      <c r="B28" s="1">
        <v>22</v>
      </c>
      <c r="C28" s="2">
        <v>46160</v>
      </c>
      <c r="D28" s="10" t="s">
        <v>662</v>
      </c>
      <c r="E28" s="4"/>
      <c r="F28" s="38">
        <v>325000</v>
      </c>
      <c r="G28" s="5">
        <f t="shared" si="1"/>
        <v>5305000</v>
      </c>
    </row>
    <row r="29" spans="2:10" ht="18.75" customHeight="1">
      <c r="B29" s="1">
        <v>23</v>
      </c>
      <c r="C29" s="2">
        <v>46160</v>
      </c>
      <c r="D29" s="10" t="s">
        <v>663</v>
      </c>
      <c r="E29" s="4"/>
      <c r="F29" s="33">
        <v>80000</v>
      </c>
      <c r="G29" s="5">
        <f t="shared" si="1"/>
        <v>5225000</v>
      </c>
    </row>
    <row r="30" spans="2:10" ht="18.75" customHeight="1">
      <c r="B30" s="1">
        <v>24</v>
      </c>
      <c r="C30" s="2">
        <v>46160</v>
      </c>
      <c r="D30" s="10" t="s">
        <v>664</v>
      </c>
      <c r="E30" s="4"/>
      <c r="F30" s="33">
        <v>605000</v>
      </c>
      <c r="G30" s="5">
        <f t="shared" si="1"/>
        <v>4620000</v>
      </c>
    </row>
    <row r="31" spans="2:10" ht="18.75" customHeight="1">
      <c r="B31" s="1">
        <v>25</v>
      </c>
      <c r="C31" s="2">
        <v>46160</v>
      </c>
      <c r="D31" s="10" t="s">
        <v>360</v>
      </c>
      <c r="E31" s="4"/>
      <c r="F31" s="34">
        <v>1000000</v>
      </c>
      <c r="G31" s="5">
        <f t="shared" si="1"/>
        <v>3620000</v>
      </c>
    </row>
    <row r="32" spans="2:10" ht="18.75" customHeight="1">
      <c r="B32" s="1">
        <v>26</v>
      </c>
      <c r="C32" s="2">
        <v>46161</v>
      </c>
      <c r="D32" s="10" t="s">
        <v>665</v>
      </c>
      <c r="E32" s="4"/>
      <c r="F32" s="33">
        <v>703000</v>
      </c>
      <c r="G32" s="5">
        <f>G31-F32</f>
        <v>2917000</v>
      </c>
    </row>
    <row r="33" spans="2:7" ht="18.75" customHeight="1">
      <c r="B33" s="1">
        <v>27</v>
      </c>
      <c r="C33" s="2">
        <v>46161</v>
      </c>
      <c r="D33" s="10" t="s">
        <v>666</v>
      </c>
      <c r="E33" s="4"/>
      <c r="F33" s="33">
        <v>65000</v>
      </c>
      <c r="G33" s="5">
        <f>G32-F33</f>
        <v>2852000</v>
      </c>
    </row>
    <row r="34" spans="2:7" ht="18.75" customHeight="1">
      <c r="B34" s="1">
        <v>28</v>
      </c>
      <c r="C34" s="2">
        <v>46161</v>
      </c>
      <c r="D34" s="10" t="s">
        <v>667</v>
      </c>
      <c r="E34" s="4"/>
      <c r="F34" s="33">
        <v>20000</v>
      </c>
      <c r="G34" s="5">
        <f>G33-F34</f>
        <v>2832000</v>
      </c>
    </row>
    <row r="35" spans="2:7" ht="18.75" customHeight="1">
      <c r="B35" s="1">
        <v>29</v>
      </c>
      <c r="C35" s="2">
        <v>46161</v>
      </c>
      <c r="D35" s="10" t="s">
        <v>437</v>
      </c>
      <c r="E35" s="4"/>
      <c r="F35" s="34">
        <v>1000000</v>
      </c>
      <c r="G35" s="5">
        <f>G34-F35</f>
        <v>1832000</v>
      </c>
    </row>
    <row r="36" spans="2:7" ht="18.75" customHeight="1">
      <c r="B36" s="1">
        <v>30</v>
      </c>
      <c r="C36" s="2">
        <v>46162</v>
      </c>
      <c r="D36" s="10" t="s">
        <v>668</v>
      </c>
      <c r="E36" s="4"/>
      <c r="F36" s="33">
        <v>85000</v>
      </c>
      <c r="G36" s="5">
        <f>G35-F36</f>
        <v>1747000</v>
      </c>
    </row>
    <row r="37" spans="2:7" ht="18.75" customHeight="1">
      <c r="B37" s="1">
        <v>31</v>
      </c>
      <c r="C37" s="2">
        <v>46162</v>
      </c>
      <c r="D37" s="10" t="s">
        <v>669</v>
      </c>
      <c r="E37" s="4"/>
      <c r="F37" s="33">
        <v>15000</v>
      </c>
      <c r="G37" s="5">
        <f>G36-F37</f>
        <v>1732000</v>
      </c>
    </row>
    <row r="38" spans="2:7" ht="18.75" customHeight="1">
      <c r="B38" s="1">
        <v>32</v>
      </c>
      <c r="C38" s="2">
        <v>46162</v>
      </c>
      <c r="D38" s="10" t="s">
        <v>670</v>
      </c>
      <c r="E38" s="4"/>
      <c r="F38" s="33">
        <v>40000</v>
      </c>
      <c r="G38" s="5">
        <f>G37-F38</f>
        <v>1692000</v>
      </c>
    </row>
    <row r="39" spans="2:7" ht="18.75" customHeight="1">
      <c r="B39" s="1">
        <v>33</v>
      </c>
      <c r="C39" s="2">
        <v>46162</v>
      </c>
      <c r="D39" s="10" t="s">
        <v>671</v>
      </c>
      <c r="E39" s="4"/>
      <c r="F39" s="33">
        <v>100000</v>
      </c>
      <c r="G39" s="5">
        <f>G38-F39</f>
        <v>1592000</v>
      </c>
    </row>
    <row r="40" spans="2:7" ht="18.75" customHeight="1">
      <c r="B40" s="1">
        <v>34</v>
      </c>
      <c r="C40" s="2">
        <v>46163</v>
      </c>
      <c r="D40" s="10" t="s">
        <v>672</v>
      </c>
      <c r="E40" s="4"/>
      <c r="F40" s="34">
        <v>1300000</v>
      </c>
      <c r="G40" s="5">
        <f t="shared" ref="G40:G46" si="2">G39-F40</f>
        <v>292000</v>
      </c>
    </row>
    <row r="41" spans="2:7" ht="18.75" customHeight="1">
      <c r="B41" s="1">
        <v>35</v>
      </c>
      <c r="C41" s="2">
        <v>46163</v>
      </c>
      <c r="D41" s="10" t="s">
        <v>673</v>
      </c>
      <c r="E41" s="4"/>
      <c r="F41" s="33">
        <v>2915904</v>
      </c>
      <c r="G41" s="5">
        <f t="shared" si="2"/>
        <v>-2623904</v>
      </c>
    </row>
    <row r="42" spans="2:7" ht="18.75" customHeight="1">
      <c r="B42" s="1">
        <v>36</v>
      </c>
      <c r="C42" s="2">
        <v>46163</v>
      </c>
      <c r="D42" s="10" t="s">
        <v>674</v>
      </c>
      <c r="E42" s="4"/>
      <c r="F42" s="33">
        <v>1570000</v>
      </c>
      <c r="G42" s="5">
        <f t="shared" si="2"/>
        <v>-4193904</v>
      </c>
    </row>
    <row r="43" spans="2:7" ht="18.75" customHeight="1">
      <c r="B43" s="1">
        <v>37</v>
      </c>
      <c r="C43" s="2">
        <v>46163</v>
      </c>
      <c r="D43" s="10" t="s">
        <v>475</v>
      </c>
      <c r="E43" s="4"/>
      <c r="F43" s="33">
        <v>698000</v>
      </c>
      <c r="G43" s="5">
        <f t="shared" si="2"/>
        <v>-4891904</v>
      </c>
    </row>
    <row r="44" spans="2:7" ht="18.75" customHeight="1">
      <c r="B44" s="1">
        <v>38</v>
      </c>
      <c r="C44" s="2">
        <v>46163</v>
      </c>
      <c r="D44" s="10" t="s">
        <v>437</v>
      </c>
      <c r="E44" s="4"/>
      <c r="F44" s="34">
        <v>1000000</v>
      </c>
      <c r="G44" s="5">
        <f t="shared" si="2"/>
        <v>-5891904</v>
      </c>
    </row>
    <row r="45" spans="2:7" ht="18.75" customHeight="1">
      <c r="B45" s="1">
        <v>39</v>
      </c>
      <c r="C45" s="2">
        <v>46163</v>
      </c>
      <c r="D45" s="10" t="s">
        <v>360</v>
      </c>
      <c r="E45" s="4"/>
      <c r="F45" s="34">
        <v>200000</v>
      </c>
      <c r="G45" s="5">
        <f t="shared" si="2"/>
        <v>-6091904</v>
      </c>
    </row>
    <row r="46" spans="2:7" ht="18.75" customHeight="1">
      <c r="B46" s="1">
        <v>40</v>
      </c>
      <c r="C46" s="2">
        <v>46165</v>
      </c>
      <c r="D46" s="10" t="s">
        <v>437</v>
      </c>
      <c r="E46" s="4"/>
      <c r="F46" s="34">
        <v>2000000</v>
      </c>
      <c r="G46" s="5">
        <f t="shared" si="2"/>
        <v>-8091904</v>
      </c>
    </row>
    <row r="47" spans="2:7" ht="18.75" customHeight="1">
      <c r="B47" s="1">
        <v>41</v>
      </c>
      <c r="C47" s="2">
        <v>46165</v>
      </c>
      <c r="D47" s="10" t="s">
        <v>394</v>
      </c>
      <c r="E47" s="4">
        <v>16500000</v>
      </c>
      <c r="F47" s="4"/>
      <c r="G47" s="5">
        <f>G46+E47</f>
        <v>8408096</v>
      </c>
    </row>
    <row r="48" spans="2:7" ht="18.75" customHeight="1">
      <c r="B48" s="1">
        <v>42</v>
      </c>
      <c r="C48" s="2">
        <v>46168</v>
      </c>
      <c r="D48" s="10" t="s">
        <v>675</v>
      </c>
      <c r="E48" s="4"/>
      <c r="F48" s="34">
        <v>1300000</v>
      </c>
      <c r="G48" s="5">
        <f>G47-F48</f>
        <v>7108096</v>
      </c>
    </row>
    <row r="49" spans="2:7" ht="18.75" customHeight="1">
      <c r="B49" s="1">
        <v>43</v>
      </c>
      <c r="C49" s="2">
        <v>46169</v>
      </c>
      <c r="D49" s="10" t="s">
        <v>615</v>
      </c>
      <c r="E49" s="4"/>
      <c r="F49" s="33">
        <v>565000</v>
      </c>
      <c r="G49" s="5">
        <f>G48-F49</f>
        <v>6543096</v>
      </c>
    </row>
    <row r="50" spans="2:7" ht="18.75" customHeight="1">
      <c r="B50" s="1">
        <v>44</v>
      </c>
      <c r="C50" s="2">
        <v>46177</v>
      </c>
      <c r="D50" s="10" t="s">
        <v>434</v>
      </c>
      <c r="E50" s="4"/>
      <c r="F50" s="33">
        <v>206000</v>
      </c>
      <c r="G50" s="5">
        <f>G49-F50</f>
        <v>6337096</v>
      </c>
    </row>
    <row r="51" spans="2:7" ht="18.75" customHeight="1">
      <c r="B51" s="1">
        <v>45</v>
      </c>
      <c r="C51" s="2">
        <v>46178</v>
      </c>
      <c r="D51" s="10" t="s">
        <v>676</v>
      </c>
      <c r="E51" s="4"/>
      <c r="F51" s="33">
        <v>80000</v>
      </c>
      <c r="G51" s="5">
        <f>G50-F51</f>
        <v>6257096</v>
      </c>
    </row>
    <row r="52" spans="2:7" ht="18.75" customHeight="1">
      <c r="B52" s="1">
        <v>46</v>
      </c>
      <c r="C52" s="2">
        <v>46182</v>
      </c>
      <c r="D52" s="10" t="s">
        <v>677</v>
      </c>
      <c r="E52" s="4">
        <v>16500000</v>
      </c>
      <c r="F52" s="4"/>
      <c r="G52" s="5">
        <f>G51+E52</f>
        <v>22757096</v>
      </c>
    </row>
    <row r="53" spans="2:7" ht="18.75" customHeight="1" thickTop="1" thickBot="1">
      <c r="B53" s="66" t="s">
        <v>337</v>
      </c>
      <c r="C53" s="97"/>
      <c r="D53" s="67"/>
      <c r="E53" s="9">
        <f>SUM(E7:E52)</f>
        <v>66000000</v>
      </c>
      <c r="F53" s="9">
        <f>SUM(F7:F52)</f>
        <v>43242904</v>
      </c>
      <c r="G53" s="60">
        <f>E53-F53</f>
        <v>22757096</v>
      </c>
    </row>
    <row r="54" spans="2:7" ht="15.75" thickTop="1">
      <c r="G54" s="55">
        <f>G53/E53</f>
        <v>0.34480448484848486</v>
      </c>
    </row>
  </sheetData>
  <mergeCells count="5">
    <mergeCell ref="B2:G2"/>
    <mergeCell ref="B3:G3"/>
    <mergeCell ref="B4:G4"/>
    <mergeCell ref="B5:G5"/>
    <mergeCell ref="B53:D53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8AE3-C1C1-43AA-B785-2AF61A5D7FC3}">
  <dimension ref="B2:J61"/>
  <sheetViews>
    <sheetView workbookViewId="0">
      <selection activeCell="N24" sqref="N24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9" max="9" width="28.7109375" customWidth="1"/>
    <col min="10" max="10" width="25.7109375" customWidth="1"/>
  </cols>
  <sheetData>
    <row r="2" spans="2:10" ht="25.5" customHeight="1">
      <c r="B2" s="85" t="s">
        <v>1</v>
      </c>
      <c r="C2" s="85"/>
      <c r="D2" s="85"/>
      <c r="E2" s="85"/>
      <c r="F2" s="85"/>
      <c r="G2" s="100"/>
    </row>
    <row r="3" spans="2:10" ht="25.5" customHeight="1">
      <c r="B3" s="88" t="s">
        <v>653</v>
      </c>
      <c r="C3" s="88"/>
      <c r="D3" s="88"/>
      <c r="E3" s="88"/>
      <c r="F3" s="88"/>
      <c r="G3" s="101"/>
    </row>
    <row r="4" spans="2:10" ht="25.5" customHeight="1">
      <c r="B4" s="91" t="s">
        <v>2</v>
      </c>
      <c r="C4" s="91"/>
      <c r="D4" s="91"/>
      <c r="E4" s="91"/>
      <c r="F4" s="91"/>
      <c r="G4" s="102"/>
    </row>
    <row r="5" spans="2:10" ht="25.5" customHeight="1">
      <c r="B5" s="94">
        <v>2026</v>
      </c>
      <c r="C5" s="94"/>
      <c r="D5" s="94"/>
      <c r="E5" s="94"/>
      <c r="F5" s="94"/>
      <c r="G5" s="103"/>
    </row>
    <row r="6" spans="2:10" ht="24.75" customHeigh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>
      <c r="B7" s="1">
        <v>1</v>
      </c>
      <c r="C7" s="2">
        <v>46098</v>
      </c>
      <c r="D7" s="3" t="s">
        <v>499</v>
      </c>
      <c r="E7" s="4"/>
      <c r="F7" s="33">
        <v>29000</v>
      </c>
      <c r="G7" s="5">
        <f>F7</f>
        <v>29000</v>
      </c>
      <c r="I7" s="16" t="s">
        <v>27</v>
      </c>
      <c r="J7" s="39">
        <f>F7+SUM(F9:F11)+SUM(F13:F15)+SUM(F18:F20)+F22+SUM(F24:F29)+SUM(F32:F33)+F35+SUM(F37:F41)+F43+SUM(F45:F48)+F50+SUM(F52:F56)+F59</f>
        <v>38502983</v>
      </c>
    </row>
    <row r="8" spans="2:10" ht="18.75" customHeight="1">
      <c r="B8" s="1">
        <v>2</v>
      </c>
      <c r="C8" s="2">
        <v>46106</v>
      </c>
      <c r="D8" s="3" t="s">
        <v>339</v>
      </c>
      <c r="E8" s="4">
        <v>35000000</v>
      </c>
      <c r="F8" s="4"/>
      <c r="G8" s="5">
        <f>E8-G7</f>
        <v>34971000</v>
      </c>
      <c r="I8" s="17" t="s">
        <v>28</v>
      </c>
      <c r="J8" s="5">
        <f>F12+F16+F23+F31+F34+F42+F51+F58</f>
        <v>18200000</v>
      </c>
    </row>
    <row r="9" spans="2:10" ht="18.75" customHeight="1">
      <c r="B9" s="1">
        <v>3</v>
      </c>
      <c r="C9" s="2">
        <v>46108</v>
      </c>
      <c r="D9" s="3" t="s">
        <v>261</v>
      </c>
      <c r="E9" s="4"/>
      <c r="F9" s="33">
        <v>10000</v>
      </c>
      <c r="G9" s="5">
        <f>G8-F9</f>
        <v>34961000</v>
      </c>
      <c r="I9" s="18" t="s">
        <v>29</v>
      </c>
      <c r="J9" s="5"/>
    </row>
    <row r="10" spans="2:10" ht="18.75" customHeight="1">
      <c r="B10" s="1">
        <v>4</v>
      </c>
      <c r="C10" s="2">
        <v>46108</v>
      </c>
      <c r="D10" s="3" t="s">
        <v>678</v>
      </c>
      <c r="E10" s="4"/>
      <c r="F10" s="33">
        <v>7055000</v>
      </c>
      <c r="G10" s="5">
        <f t="shared" ref="G10:G45" si="0">G9-F10</f>
        <v>27906000</v>
      </c>
      <c r="I10" s="37" t="s">
        <v>30</v>
      </c>
      <c r="J10" s="15">
        <f>F17+F21+F30+F36+F44</f>
        <v>1937500</v>
      </c>
    </row>
    <row r="11" spans="2:10" ht="18.75" customHeight="1">
      <c r="B11" s="1">
        <v>5</v>
      </c>
      <c r="C11" s="2">
        <v>46111</v>
      </c>
      <c r="D11" s="3" t="s">
        <v>261</v>
      </c>
      <c r="E11" s="4"/>
      <c r="F11" s="33">
        <v>60000</v>
      </c>
      <c r="G11" s="5">
        <f t="shared" si="0"/>
        <v>27846000</v>
      </c>
      <c r="J11" s="35">
        <f>SUM(J7:J10)</f>
        <v>58640483</v>
      </c>
    </row>
    <row r="12" spans="2:10" ht="18.75" customHeight="1">
      <c r="B12" s="1">
        <v>6</v>
      </c>
      <c r="C12" s="2">
        <v>46111</v>
      </c>
      <c r="D12" s="3" t="s">
        <v>437</v>
      </c>
      <c r="E12" s="4"/>
      <c r="F12" s="34">
        <v>1000000</v>
      </c>
      <c r="G12" s="5">
        <f t="shared" si="0"/>
        <v>26846000</v>
      </c>
    </row>
    <row r="13" spans="2:10" ht="18.75" customHeight="1">
      <c r="B13" s="1">
        <v>7</v>
      </c>
      <c r="C13" s="2">
        <v>46112</v>
      </c>
      <c r="D13" s="10" t="s">
        <v>415</v>
      </c>
      <c r="E13" s="4"/>
      <c r="F13" s="33">
        <v>56500</v>
      </c>
      <c r="G13" s="5">
        <f t="shared" si="0"/>
        <v>26789500</v>
      </c>
      <c r="I13" t="s">
        <v>437</v>
      </c>
      <c r="J13" s="35">
        <f>F12+F16+F23+F31+F34+F51+F58</f>
        <v>17200000</v>
      </c>
    </row>
    <row r="14" spans="2:10" ht="18.75" customHeight="1">
      <c r="B14" s="1">
        <v>8</v>
      </c>
      <c r="C14" s="2">
        <v>46113</v>
      </c>
      <c r="D14" s="10" t="s">
        <v>679</v>
      </c>
      <c r="E14" s="4"/>
      <c r="F14" s="33">
        <v>7914000</v>
      </c>
      <c r="G14" s="5">
        <f t="shared" si="0"/>
        <v>18875500</v>
      </c>
      <c r="I14" t="s">
        <v>404</v>
      </c>
      <c r="J14" s="35">
        <f>17200000-J13</f>
        <v>0</v>
      </c>
    </row>
    <row r="15" spans="2:10" ht="18.75" customHeight="1">
      <c r="B15" s="1">
        <v>9</v>
      </c>
      <c r="C15" s="2">
        <v>46114</v>
      </c>
      <c r="D15" s="10" t="s">
        <v>680</v>
      </c>
      <c r="E15" s="4"/>
      <c r="F15" s="33">
        <v>1104000</v>
      </c>
      <c r="G15" s="5">
        <f t="shared" si="0"/>
        <v>17771500</v>
      </c>
    </row>
    <row r="16" spans="2:10" ht="18.75" customHeight="1">
      <c r="B16" s="1">
        <v>10</v>
      </c>
      <c r="C16" s="2">
        <v>46114</v>
      </c>
      <c r="D16" s="10" t="s">
        <v>437</v>
      </c>
      <c r="E16" s="4"/>
      <c r="F16" s="34">
        <v>2000000</v>
      </c>
      <c r="G16" s="5">
        <f t="shared" si="0"/>
        <v>15771500</v>
      </c>
      <c r="J16" s="35"/>
    </row>
    <row r="17" spans="2:10" ht="18.75" customHeight="1">
      <c r="B17" s="1">
        <v>11</v>
      </c>
      <c r="C17" s="2">
        <v>46115</v>
      </c>
      <c r="D17" s="10" t="s">
        <v>681</v>
      </c>
      <c r="E17" s="4"/>
      <c r="F17" s="38">
        <v>100000</v>
      </c>
      <c r="G17" s="5">
        <f t="shared" si="0"/>
        <v>15671500</v>
      </c>
    </row>
    <row r="18" spans="2:10" ht="18.75" customHeight="1">
      <c r="B18" s="1">
        <v>12</v>
      </c>
      <c r="C18" s="2">
        <v>46115</v>
      </c>
      <c r="D18" s="10" t="s">
        <v>682</v>
      </c>
      <c r="E18" s="4"/>
      <c r="F18" s="33">
        <v>285000</v>
      </c>
      <c r="G18" s="5">
        <f t="shared" si="0"/>
        <v>15386500</v>
      </c>
      <c r="J18" s="35"/>
    </row>
    <row r="19" spans="2:10" ht="18.75" customHeight="1">
      <c r="B19" s="1">
        <v>13</v>
      </c>
      <c r="C19" s="2">
        <v>46115</v>
      </c>
      <c r="D19" s="10" t="s">
        <v>683</v>
      </c>
      <c r="E19" s="4"/>
      <c r="F19" s="33">
        <v>120000</v>
      </c>
      <c r="G19" s="5">
        <f t="shared" si="0"/>
        <v>15266500</v>
      </c>
    </row>
    <row r="20" spans="2:10" ht="18.75" customHeight="1">
      <c r="B20" s="1">
        <v>14</v>
      </c>
      <c r="C20" s="2">
        <v>46115</v>
      </c>
      <c r="D20" s="10" t="s">
        <v>415</v>
      </c>
      <c r="E20" s="4"/>
      <c r="F20" s="33">
        <v>143500</v>
      </c>
      <c r="G20" s="5">
        <f t="shared" si="0"/>
        <v>15123000</v>
      </c>
      <c r="J20" s="35"/>
    </row>
    <row r="21" spans="2:10" ht="18.75" customHeight="1">
      <c r="B21" s="1">
        <v>15</v>
      </c>
      <c r="C21" s="2">
        <v>46116</v>
      </c>
      <c r="D21" s="10" t="s">
        <v>684</v>
      </c>
      <c r="E21" s="4"/>
      <c r="F21" s="38">
        <v>300000</v>
      </c>
      <c r="G21" s="5">
        <f t="shared" si="0"/>
        <v>14823000</v>
      </c>
    </row>
    <row r="22" spans="2:10" ht="18.75" customHeight="1">
      <c r="B22" s="1">
        <v>16</v>
      </c>
      <c r="C22" s="2">
        <v>46116</v>
      </c>
      <c r="D22" s="10" t="s">
        <v>415</v>
      </c>
      <c r="E22" s="4"/>
      <c r="F22" s="33">
        <v>700000</v>
      </c>
      <c r="G22" s="5">
        <f t="shared" si="0"/>
        <v>14123000</v>
      </c>
    </row>
    <row r="23" spans="2:10" ht="18.75" customHeight="1">
      <c r="B23" s="1">
        <v>17</v>
      </c>
      <c r="C23" s="2">
        <v>46116</v>
      </c>
      <c r="D23" s="10" t="s">
        <v>437</v>
      </c>
      <c r="E23" s="4"/>
      <c r="F23" s="34">
        <v>2000000</v>
      </c>
      <c r="G23" s="5">
        <f t="shared" si="0"/>
        <v>12123000</v>
      </c>
    </row>
    <row r="24" spans="2:10" ht="18.75" customHeight="1">
      <c r="B24" s="1">
        <v>18</v>
      </c>
      <c r="C24" s="2">
        <v>46117</v>
      </c>
      <c r="D24" s="10" t="s">
        <v>685</v>
      </c>
      <c r="E24" s="4"/>
      <c r="F24" s="33">
        <v>445000</v>
      </c>
      <c r="G24" s="5">
        <f t="shared" si="0"/>
        <v>11678000</v>
      </c>
    </row>
    <row r="25" spans="2:10" ht="18.75" customHeight="1">
      <c r="B25" s="1">
        <v>19</v>
      </c>
      <c r="C25" s="2">
        <v>46118</v>
      </c>
      <c r="D25" s="10" t="s">
        <v>686</v>
      </c>
      <c r="E25" s="4"/>
      <c r="F25" s="33">
        <v>7213760</v>
      </c>
      <c r="G25" s="5">
        <f t="shared" si="0"/>
        <v>4464240</v>
      </c>
    </row>
    <row r="26" spans="2:10" ht="18.75" customHeight="1">
      <c r="B26" s="1">
        <v>20</v>
      </c>
      <c r="C26" s="2">
        <v>46118</v>
      </c>
      <c r="D26" s="10" t="s">
        <v>687</v>
      </c>
      <c r="E26" s="4"/>
      <c r="F26" s="33">
        <v>735000</v>
      </c>
      <c r="G26" s="5">
        <f t="shared" si="0"/>
        <v>3729240</v>
      </c>
    </row>
    <row r="27" spans="2:10" ht="18.75" customHeight="1">
      <c r="B27" s="1">
        <v>21</v>
      </c>
      <c r="C27" s="2">
        <v>46118</v>
      </c>
      <c r="D27" s="10" t="s">
        <v>688</v>
      </c>
      <c r="E27" s="4"/>
      <c r="F27" s="33">
        <v>88000</v>
      </c>
      <c r="G27" s="5">
        <f t="shared" si="0"/>
        <v>3641240</v>
      </c>
    </row>
    <row r="28" spans="2:10" ht="18.75" customHeight="1">
      <c r="B28" s="1">
        <v>22</v>
      </c>
      <c r="C28" s="2">
        <v>46118</v>
      </c>
      <c r="D28" s="10" t="s">
        <v>689</v>
      </c>
      <c r="E28" s="4"/>
      <c r="F28" s="33">
        <v>237000</v>
      </c>
      <c r="G28" s="5">
        <f t="shared" si="0"/>
        <v>3404240</v>
      </c>
    </row>
    <row r="29" spans="2:10" ht="18.75" customHeight="1">
      <c r="B29" s="1">
        <v>23</v>
      </c>
      <c r="C29" s="2">
        <v>46120</v>
      </c>
      <c r="D29" s="10" t="s">
        <v>690</v>
      </c>
      <c r="E29" s="4"/>
      <c r="F29" s="33">
        <v>2726000</v>
      </c>
      <c r="G29" s="5">
        <f t="shared" si="0"/>
        <v>678240</v>
      </c>
    </row>
    <row r="30" spans="2:10" ht="18.75" customHeight="1">
      <c r="B30" s="1">
        <v>24</v>
      </c>
      <c r="C30" s="2">
        <v>46120</v>
      </c>
      <c r="D30" s="10" t="s">
        <v>535</v>
      </c>
      <c r="E30" s="4"/>
      <c r="F30" s="38">
        <v>1100000</v>
      </c>
      <c r="G30" s="5">
        <f t="shared" si="0"/>
        <v>-421760</v>
      </c>
    </row>
    <row r="31" spans="2:10" ht="18.75" customHeight="1">
      <c r="B31" s="1">
        <v>25</v>
      </c>
      <c r="C31" s="2">
        <v>46121</v>
      </c>
      <c r="D31" s="10" t="s">
        <v>437</v>
      </c>
      <c r="E31" s="4"/>
      <c r="F31" s="34">
        <v>2000000</v>
      </c>
      <c r="G31" s="5">
        <f t="shared" si="0"/>
        <v>-2421760</v>
      </c>
    </row>
    <row r="32" spans="2:10" ht="18.75" customHeight="1">
      <c r="B32" s="1">
        <v>26</v>
      </c>
      <c r="C32" s="2">
        <v>46122</v>
      </c>
      <c r="D32" s="10" t="s">
        <v>691</v>
      </c>
      <c r="E32" s="4"/>
      <c r="F32" s="33">
        <v>1650000</v>
      </c>
      <c r="G32" s="5">
        <f t="shared" si="0"/>
        <v>-4071760</v>
      </c>
    </row>
    <row r="33" spans="2:7" ht="18.75" customHeight="1">
      <c r="B33" s="1">
        <v>27</v>
      </c>
      <c r="C33" s="2">
        <v>46123</v>
      </c>
      <c r="D33" s="10" t="s">
        <v>692</v>
      </c>
      <c r="E33" s="4"/>
      <c r="F33" s="33">
        <v>1250000</v>
      </c>
      <c r="G33" s="5">
        <f t="shared" si="0"/>
        <v>-5321760</v>
      </c>
    </row>
    <row r="34" spans="2:7" ht="18.75" customHeight="1">
      <c r="B34" s="1">
        <v>28</v>
      </c>
      <c r="C34" s="2">
        <v>46123</v>
      </c>
      <c r="D34" s="10" t="s">
        <v>437</v>
      </c>
      <c r="E34" s="4"/>
      <c r="F34" s="34">
        <v>5000000</v>
      </c>
      <c r="G34" s="5">
        <f t="shared" si="0"/>
        <v>-10321760</v>
      </c>
    </row>
    <row r="35" spans="2:7" ht="18.75" customHeight="1">
      <c r="B35" s="1">
        <v>29</v>
      </c>
      <c r="C35" s="2">
        <v>46125</v>
      </c>
      <c r="D35" s="10" t="s">
        <v>693</v>
      </c>
      <c r="E35" s="4"/>
      <c r="F35" s="33">
        <v>598000</v>
      </c>
      <c r="G35" s="5">
        <f t="shared" si="0"/>
        <v>-10919760</v>
      </c>
    </row>
    <row r="36" spans="2:7" ht="18.75" customHeight="1">
      <c r="B36" s="1">
        <v>30</v>
      </c>
      <c r="C36" s="2">
        <v>46125</v>
      </c>
      <c r="D36" s="10" t="s">
        <v>684</v>
      </c>
      <c r="E36" s="4"/>
      <c r="F36" s="38">
        <v>272500</v>
      </c>
      <c r="G36" s="5">
        <f t="shared" si="0"/>
        <v>-11192260</v>
      </c>
    </row>
    <row r="37" spans="2:7" ht="18.75" customHeight="1">
      <c r="B37" s="1">
        <v>31</v>
      </c>
      <c r="C37" s="2">
        <v>46126</v>
      </c>
      <c r="D37" s="10" t="s">
        <v>694</v>
      </c>
      <c r="E37" s="4"/>
      <c r="F37" s="33">
        <v>350000</v>
      </c>
      <c r="G37" s="5">
        <f t="shared" si="0"/>
        <v>-11542260</v>
      </c>
    </row>
    <row r="38" spans="2:7" ht="18.75" customHeight="1">
      <c r="B38" s="1">
        <v>32</v>
      </c>
      <c r="C38" s="2">
        <v>46126</v>
      </c>
      <c r="D38" s="10" t="s">
        <v>695</v>
      </c>
      <c r="E38" s="4"/>
      <c r="F38" s="33">
        <v>66360</v>
      </c>
      <c r="G38" s="5">
        <f t="shared" si="0"/>
        <v>-11608620</v>
      </c>
    </row>
    <row r="39" spans="2:7" ht="18.75" customHeight="1">
      <c r="B39" s="1">
        <v>33</v>
      </c>
      <c r="C39" s="2">
        <v>46126</v>
      </c>
      <c r="D39" s="10" t="s">
        <v>696</v>
      </c>
      <c r="E39" s="4"/>
      <c r="F39" s="33">
        <v>280000</v>
      </c>
      <c r="G39" s="5">
        <f t="shared" si="0"/>
        <v>-11888620</v>
      </c>
    </row>
    <row r="40" spans="2:7" ht="18.75" customHeight="1">
      <c r="B40" s="1">
        <v>34</v>
      </c>
      <c r="C40" s="2">
        <v>46126</v>
      </c>
      <c r="D40" s="10" t="s">
        <v>697</v>
      </c>
      <c r="E40" s="4"/>
      <c r="F40" s="33">
        <v>293694</v>
      </c>
      <c r="G40" s="5">
        <f t="shared" si="0"/>
        <v>-12182314</v>
      </c>
    </row>
    <row r="41" spans="2:7" ht="18.75" customHeight="1">
      <c r="B41" s="1">
        <v>35</v>
      </c>
      <c r="C41" s="2">
        <v>46126</v>
      </c>
      <c r="D41" s="10" t="s">
        <v>434</v>
      </c>
      <c r="E41" s="4"/>
      <c r="F41" s="33">
        <v>49000</v>
      </c>
      <c r="G41" s="5">
        <f t="shared" si="0"/>
        <v>-12231314</v>
      </c>
    </row>
    <row r="42" spans="2:7" ht="18.75" customHeight="1">
      <c r="B42" s="1">
        <v>36</v>
      </c>
      <c r="C42" s="2">
        <v>46126</v>
      </c>
      <c r="D42" s="10" t="s">
        <v>698</v>
      </c>
      <c r="E42" s="4"/>
      <c r="F42" s="34">
        <v>1000000</v>
      </c>
      <c r="G42" s="5">
        <f t="shared" si="0"/>
        <v>-13231314</v>
      </c>
    </row>
    <row r="43" spans="2:7" ht="18.75" customHeight="1">
      <c r="B43" s="1">
        <v>37</v>
      </c>
      <c r="C43" s="2">
        <v>46127</v>
      </c>
      <c r="D43" s="10" t="s">
        <v>699</v>
      </c>
      <c r="E43" s="4"/>
      <c r="F43" s="33">
        <v>206000</v>
      </c>
      <c r="G43" s="5">
        <f t="shared" si="0"/>
        <v>-13437314</v>
      </c>
    </row>
    <row r="44" spans="2:7" ht="18.75" customHeight="1">
      <c r="B44" s="1">
        <v>38</v>
      </c>
      <c r="C44" s="2">
        <v>46127</v>
      </c>
      <c r="D44" s="10" t="s">
        <v>684</v>
      </c>
      <c r="E44" s="4"/>
      <c r="F44" s="38">
        <v>165000</v>
      </c>
      <c r="G44" s="5">
        <f t="shared" si="0"/>
        <v>-13602314</v>
      </c>
    </row>
    <row r="45" spans="2:7" ht="18.75" customHeight="1">
      <c r="B45" s="1">
        <v>39</v>
      </c>
      <c r="C45" s="2">
        <v>46127</v>
      </c>
      <c r="D45" s="10" t="s">
        <v>700</v>
      </c>
      <c r="E45" s="4"/>
      <c r="F45" s="33">
        <v>1082000</v>
      </c>
      <c r="G45" s="5">
        <f t="shared" si="0"/>
        <v>-14684314</v>
      </c>
    </row>
    <row r="46" spans="2:7" ht="18.75" customHeight="1">
      <c r="B46" s="1">
        <v>40</v>
      </c>
      <c r="C46" s="2">
        <v>46128</v>
      </c>
      <c r="D46" s="10" t="s">
        <v>701</v>
      </c>
      <c r="E46" s="4"/>
      <c r="F46" s="33">
        <v>64370</v>
      </c>
      <c r="G46" s="5">
        <f>G45-F46</f>
        <v>-14748684</v>
      </c>
    </row>
    <row r="47" spans="2:7" ht="18.75" customHeight="1">
      <c r="B47" s="1">
        <v>41</v>
      </c>
      <c r="C47" s="2">
        <v>46129</v>
      </c>
      <c r="D47" s="10" t="s">
        <v>702</v>
      </c>
      <c r="E47" s="4"/>
      <c r="F47" s="33">
        <v>1765000</v>
      </c>
      <c r="G47" s="5">
        <f t="shared" ref="G47:G53" si="1">G46-F47</f>
        <v>-16513684</v>
      </c>
    </row>
    <row r="48" spans="2:7" ht="18.75" customHeight="1">
      <c r="B48" s="1">
        <v>42</v>
      </c>
      <c r="C48" s="2">
        <v>46129</v>
      </c>
      <c r="D48" s="10" t="s">
        <v>703</v>
      </c>
      <c r="E48" s="4"/>
      <c r="F48" s="33">
        <v>108799</v>
      </c>
      <c r="G48" s="5">
        <f t="shared" si="1"/>
        <v>-16622483</v>
      </c>
    </row>
    <row r="49" spans="2:7" ht="18.75" customHeight="1">
      <c r="B49" s="1">
        <v>43</v>
      </c>
      <c r="C49" s="2">
        <v>46130</v>
      </c>
      <c r="D49" s="10" t="s">
        <v>704</v>
      </c>
      <c r="E49" s="4">
        <v>21300000</v>
      </c>
      <c r="F49" s="4"/>
      <c r="G49" s="5">
        <f>G48+E49</f>
        <v>4677517</v>
      </c>
    </row>
    <row r="50" spans="2:7" ht="18.75" customHeight="1">
      <c r="B50" s="1">
        <v>44</v>
      </c>
      <c r="C50" s="2">
        <v>46130</v>
      </c>
      <c r="D50" s="10" t="s">
        <v>705</v>
      </c>
      <c r="E50" s="4"/>
      <c r="F50" s="33">
        <v>710000</v>
      </c>
      <c r="G50" s="5">
        <f t="shared" si="1"/>
        <v>3967517</v>
      </c>
    </row>
    <row r="51" spans="2:7" ht="18.75" customHeight="1">
      <c r="B51" s="1">
        <v>45</v>
      </c>
      <c r="C51" s="2">
        <v>46130</v>
      </c>
      <c r="D51" s="10" t="s">
        <v>437</v>
      </c>
      <c r="E51" s="4"/>
      <c r="F51" s="34">
        <v>3000000</v>
      </c>
      <c r="G51" s="5">
        <f t="shared" si="1"/>
        <v>967517</v>
      </c>
    </row>
    <row r="52" spans="2:7" ht="18.75" customHeight="1">
      <c r="B52" s="1">
        <v>46</v>
      </c>
      <c r="C52" s="2">
        <v>46131</v>
      </c>
      <c r="D52" s="10" t="s">
        <v>687</v>
      </c>
      <c r="E52" s="4"/>
      <c r="F52" s="33">
        <v>631000</v>
      </c>
      <c r="G52" s="5">
        <f t="shared" si="1"/>
        <v>336517</v>
      </c>
    </row>
    <row r="53" spans="2:7" ht="18.75" customHeight="1">
      <c r="B53" s="1">
        <v>47</v>
      </c>
      <c r="C53" s="2">
        <v>46134</v>
      </c>
      <c r="D53" s="10" t="s">
        <v>706</v>
      </c>
      <c r="E53" s="4"/>
      <c r="F53" s="33">
        <v>136400</v>
      </c>
      <c r="G53" s="5">
        <f t="shared" si="1"/>
        <v>200117</v>
      </c>
    </row>
    <row r="54" spans="2:7" ht="18.75" customHeight="1">
      <c r="B54" s="1">
        <v>48</v>
      </c>
      <c r="C54" s="2">
        <v>46135</v>
      </c>
      <c r="D54" s="10" t="s">
        <v>707</v>
      </c>
      <c r="E54" s="4"/>
      <c r="F54" s="33">
        <v>123600</v>
      </c>
      <c r="G54" s="5">
        <f>G53-F54</f>
        <v>76517</v>
      </c>
    </row>
    <row r="55" spans="2:7" ht="18.75" customHeight="1">
      <c r="B55" s="1">
        <v>49</v>
      </c>
      <c r="C55" s="2">
        <v>46139</v>
      </c>
      <c r="D55" s="10" t="s">
        <v>708</v>
      </c>
      <c r="E55" s="4"/>
      <c r="F55" s="33">
        <v>100000</v>
      </c>
      <c r="G55" s="5">
        <f>G54-F55</f>
        <v>-23483</v>
      </c>
    </row>
    <row r="56" spans="2:7" ht="18.75" customHeight="1">
      <c r="B56" s="1">
        <v>50</v>
      </c>
      <c r="C56" s="2">
        <v>46140</v>
      </c>
      <c r="D56" s="10" t="s">
        <v>709</v>
      </c>
      <c r="E56" s="4"/>
      <c r="F56" s="33">
        <v>20000</v>
      </c>
      <c r="G56" s="5">
        <f>G55-F56</f>
        <v>-43483</v>
      </c>
    </row>
    <row r="57" spans="2:7" ht="18.75" customHeight="1">
      <c r="B57" s="1">
        <v>51</v>
      </c>
      <c r="C57" s="2">
        <v>46140</v>
      </c>
      <c r="D57" s="10" t="s">
        <v>710</v>
      </c>
      <c r="E57" s="4">
        <v>19300000</v>
      </c>
      <c r="F57" s="4"/>
      <c r="G57" s="5">
        <f>G56+E57</f>
        <v>19256517</v>
      </c>
    </row>
    <row r="58" spans="2:7" ht="18.75" customHeight="1">
      <c r="B58" s="1">
        <v>52</v>
      </c>
      <c r="C58" s="2">
        <v>46144</v>
      </c>
      <c r="D58" s="10" t="s">
        <v>711</v>
      </c>
      <c r="E58" s="4"/>
      <c r="F58" s="34">
        <v>2200000</v>
      </c>
      <c r="G58" s="5">
        <f>G57-F58</f>
        <v>17056517</v>
      </c>
    </row>
    <row r="59" spans="2:7" ht="18.75" customHeight="1" thickBot="1">
      <c r="B59" s="1">
        <v>53</v>
      </c>
      <c r="C59" s="2">
        <v>46144</v>
      </c>
      <c r="D59" s="10" t="s">
        <v>712</v>
      </c>
      <c r="E59" s="4"/>
      <c r="F59" s="33">
        <v>97000</v>
      </c>
      <c r="G59" s="5">
        <f>G58-F59</f>
        <v>16959517</v>
      </c>
    </row>
    <row r="60" spans="2:7" ht="18.75" customHeight="1" thickTop="1" thickBot="1">
      <c r="B60" s="66" t="s">
        <v>337</v>
      </c>
      <c r="C60" s="97"/>
      <c r="D60" s="67"/>
      <c r="E60" s="9">
        <f>SUM(E7:E59)</f>
        <v>75600000</v>
      </c>
      <c r="F60" s="9">
        <f>SUM(F7:F59)</f>
        <v>58640483</v>
      </c>
      <c r="G60" s="60">
        <f>E60-F60</f>
        <v>16959517</v>
      </c>
    </row>
    <row r="61" spans="2:7">
      <c r="G61" s="55">
        <f>G60/E60</f>
        <v>0.22433223544973546</v>
      </c>
    </row>
  </sheetData>
  <mergeCells count="5">
    <mergeCell ref="B2:G2"/>
    <mergeCell ref="B3:G3"/>
    <mergeCell ref="B4:G4"/>
    <mergeCell ref="B5:G5"/>
    <mergeCell ref="B60:D60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A37B-6B26-4C10-BA9C-BEBC7285F937}">
  <dimension ref="B1:J187"/>
  <sheetViews>
    <sheetView workbookViewId="0">
      <selection activeCell="B2" sqref="B2"/>
    </sheetView>
  </sheetViews>
  <sheetFormatPr defaultRowHeight="15"/>
  <cols>
    <col min="3" max="3" width="14.42578125" customWidth="1"/>
    <col min="4" max="4" width="46.85546875" customWidth="1"/>
    <col min="5" max="7" width="23" customWidth="1"/>
    <col min="9" max="9" width="26.5703125" customWidth="1"/>
    <col min="10" max="10" width="25.7109375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713</v>
      </c>
      <c r="C3" s="98"/>
      <c r="D3" s="98"/>
      <c r="E3" s="98"/>
      <c r="F3" s="98"/>
      <c r="G3" s="90"/>
    </row>
    <row r="4" spans="2:10" ht="25.5" customHeight="1">
      <c r="B4" s="91" t="s">
        <v>2</v>
      </c>
      <c r="C4" s="99"/>
      <c r="D4" s="99"/>
      <c r="E4" s="99"/>
      <c r="F4" s="99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46039</v>
      </c>
      <c r="D7" s="3" t="s">
        <v>714</v>
      </c>
      <c r="E7" s="4">
        <v>1500000</v>
      </c>
      <c r="F7" s="4"/>
      <c r="G7" s="5">
        <f>E7</f>
        <v>1500000</v>
      </c>
      <c r="I7" s="16" t="s">
        <v>27</v>
      </c>
      <c r="J7" s="39">
        <f>SUM(F8:F9)+SUM(F12:F14)+F16+SUM(F18:F21)+SUM(F23:F24)+SUM(F30:F35)+SUM(F37:F41)+SUM(F46:F47)+F52+SUM(F56:F58)+F60+F64+SUM(F70:F72)+F74+F79+SUM(F81:F83)+SUM(F85:F89)+SUM(F94:F95)+SUM(F98:F100)+SUM(F103:F105)+SUM(F109:F112)+F114+F116+F118+SUM(F121:F122)+SUM(F125:F136)+SUM(F141:F143)+F146+SUM(F148:F152)+F154+SUM(F156:F159)+SUM(F161:F164)+F166+SUM(F168:F173)+SUM(F176:F177)+F181</f>
        <v>104219718</v>
      </c>
    </row>
    <row r="8" spans="2:10" ht="18.75" customHeight="1">
      <c r="B8" s="1">
        <v>2</v>
      </c>
      <c r="C8" s="2">
        <v>46079</v>
      </c>
      <c r="D8" s="3" t="s">
        <v>715</v>
      </c>
      <c r="E8" s="4"/>
      <c r="F8" s="33">
        <v>53000</v>
      </c>
      <c r="G8" s="5">
        <f>G7-F8</f>
        <v>1447000</v>
      </c>
      <c r="I8" s="17" t="s">
        <v>28</v>
      </c>
      <c r="J8" s="39">
        <f>F11+F15+F17+F22+F29+F36+F42+F51++F53+F55+SUM(F65:F68)+F73+SUM(F75:F76)+F78+SUM(F91:F92)+F101+F106+F113+F117+F123+SUM(F139:F140)+SUM(F144:F145)+F153+F155+F167+SUM(F178:F180)+F183+F184</f>
        <v>78367000</v>
      </c>
    </row>
    <row r="9" spans="2:10" ht="18.75" customHeight="1">
      <c r="B9" s="1">
        <v>3</v>
      </c>
      <c r="C9" s="2">
        <v>46083</v>
      </c>
      <c r="D9" s="3" t="s">
        <v>716</v>
      </c>
      <c r="E9" s="4"/>
      <c r="F9" s="33">
        <v>30000</v>
      </c>
      <c r="G9" s="5">
        <f>G8-F9</f>
        <v>1417000</v>
      </c>
      <c r="I9" s="18" t="s">
        <v>29</v>
      </c>
      <c r="J9" s="5"/>
    </row>
    <row r="10" spans="2:10" ht="18.75" customHeight="1" thickBot="1">
      <c r="B10" s="1">
        <v>4</v>
      </c>
      <c r="C10" s="2">
        <v>46083</v>
      </c>
      <c r="D10" s="3" t="s">
        <v>717</v>
      </c>
      <c r="E10" s="4">
        <v>90000000</v>
      </c>
      <c r="F10" s="4"/>
      <c r="G10" s="5">
        <f>G9+E10</f>
        <v>91417000</v>
      </c>
      <c r="I10" s="37" t="s">
        <v>30</v>
      </c>
      <c r="J10" s="15">
        <f>SUM(F25:F28)+F45+SUM(F48:F50)+F54+F59+SUM(F61:F63)+F69+F77+F80+F90+F93+SUM(F96:F97)+F102+F107+F115+F120+F124+SUM(F137:F138)+F147+F160+SUM(F174:F175)+F182</f>
        <v>6790800</v>
      </c>
    </row>
    <row r="11" spans="2:10" ht="18.75" customHeight="1" thickTop="1">
      <c r="B11" s="1">
        <v>5</v>
      </c>
      <c r="C11" s="2">
        <v>46083</v>
      </c>
      <c r="D11" s="3" t="s">
        <v>437</v>
      </c>
      <c r="E11" s="4"/>
      <c r="F11" s="34">
        <v>1000000</v>
      </c>
      <c r="G11" s="5">
        <f>G10-F11</f>
        <v>90417000</v>
      </c>
      <c r="J11" s="35">
        <f>SUM(J7:J10)</f>
        <v>189377518</v>
      </c>
    </row>
    <row r="12" spans="2:10" ht="18.75" customHeight="1">
      <c r="B12" s="1">
        <v>6</v>
      </c>
      <c r="C12" s="2">
        <v>46084</v>
      </c>
      <c r="D12" s="3" t="s">
        <v>718</v>
      </c>
      <c r="E12" s="4"/>
      <c r="F12" s="33">
        <v>44000</v>
      </c>
      <c r="G12" s="5">
        <f t="shared" ref="G12:G27" si="0">G11-F12</f>
        <v>90373000</v>
      </c>
    </row>
    <row r="13" spans="2:10" ht="18.75" customHeight="1">
      <c r="B13" s="1">
        <v>7</v>
      </c>
      <c r="C13" s="2">
        <v>46085</v>
      </c>
      <c r="D13" s="3" t="s">
        <v>584</v>
      </c>
      <c r="E13" s="4"/>
      <c r="F13" s="33">
        <v>10350000</v>
      </c>
      <c r="G13" s="5">
        <f t="shared" si="0"/>
        <v>80023000</v>
      </c>
      <c r="J13" s="35"/>
    </row>
    <row r="14" spans="2:10" ht="18.75" customHeight="1">
      <c r="B14" s="1">
        <v>8</v>
      </c>
      <c r="C14" s="2">
        <v>46085</v>
      </c>
      <c r="D14" s="10" t="s">
        <v>719</v>
      </c>
      <c r="E14" s="4"/>
      <c r="F14" s="33">
        <v>42500</v>
      </c>
      <c r="G14" s="5">
        <f t="shared" si="0"/>
        <v>79980500</v>
      </c>
      <c r="J14" s="35"/>
    </row>
    <row r="15" spans="2:10" ht="18.75" customHeight="1">
      <c r="B15" s="1">
        <v>9</v>
      </c>
      <c r="C15" s="2">
        <v>46085</v>
      </c>
      <c r="D15" s="10" t="s">
        <v>437</v>
      </c>
      <c r="E15" s="4"/>
      <c r="F15" s="34">
        <v>1000000</v>
      </c>
      <c r="G15" s="5">
        <f t="shared" si="0"/>
        <v>78980500</v>
      </c>
    </row>
    <row r="16" spans="2:10" ht="18.75" customHeight="1">
      <c r="B16" s="1">
        <v>10</v>
      </c>
      <c r="C16" s="2">
        <v>46085</v>
      </c>
      <c r="D16" s="10" t="s">
        <v>720</v>
      </c>
      <c r="E16" s="4"/>
      <c r="F16" s="33">
        <v>200000</v>
      </c>
      <c r="G16" s="5">
        <f t="shared" si="0"/>
        <v>78780500</v>
      </c>
      <c r="J16" s="35"/>
    </row>
    <row r="17" spans="2:10" ht="18.75" customHeight="1">
      <c r="B17" s="1">
        <v>11</v>
      </c>
      <c r="C17" s="2">
        <v>46087</v>
      </c>
      <c r="D17" s="10" t="s">
        <v>360</v>
      </c>
      <c r="E17" s="4"/>
      <c r="F17" s="34">
        <v>200000</v>
      </c>
      <c r="G17" s="5">
        <f t="shared" si="0"/>
        <v>78580500</v>
      </c>
    </row>
    <row r="18" spans="2:10" ht="18.75" customHeight="1">
      <c r="B18" s="1">
        <v>12</v>
      </c>
      <c r="C18" s="2">
        <v>46088</v>
      </c>
      <c r="D18" s="10" t="s">
        <v>276</v>
      </c>
      <c r="E18" s="4"/>
      <c r="F18" s="33">
        <v>18000</v>
      </c>
      <c r="G18" s="5">
        <f t="shared" si="0"/>
        <v>78562500</v>
      </c>
    </row>
    <row r="19" spans="2:10" ht="18.75" customHeight="1">
      <c r="B19" s="1">
        <v>13</v>
      </c>
      <c r="C19" s="2">
        <v>46088</v>
      </c>
      <c r="D19" s="10" t="s">
        <v>721</v>
      </c>
      <c r="E19" s="4"/>
      <c r="F19" s="33">
        <v>2570000</v>
      </c>
      <c r="G19" s="5">
        <f t="shared" si="0"/>
        <v>75992500</v>
      </c>
    </row>
    <row r="20" spans="2:10" ht="18.75" customHeight="1">
      <c r="B20" s="1">
        <v>14</v>
      </c>
      <c r="C20" s="2">
        <v>46088</v>
      </c>
      <c r="D20" s="10" t="s">
        <v>465</v>
      </c>
      <c r="E20" s="4"/>
      <c r="F20" s="33">
        <v>3861000</v>
      </c>
      <c r="G20" s="5">
        <f t="shared" si="0"/>
        <v>72131500</v>
      </c>
    </row>
    <row r="21" spans="2:10" ht="18.75" customHeight="1">
      <c r="B21" s="1">
        <v>15</v>
      </c>
      <c r="C21" s="2">
        <v>46088</v>
      </c>
      <c r="D21" s="10" t="s">
        <v>630</v>
      </c>
      <c r="E21" s="4"/>
      <c r="F21" s="33">
        <v>1375000</v>
      </c>
      <c r="G21" s="5">
        <f t="shared" si="0"/>
        <v>70756500</v>
      </c>
      <c r="J21" s="35"/>
    </row>
    <row r="22" spans="2:10" ht="18.75" customHeight="1">
      <c r="B22" s="1">
        <v>16</v>
      </c>
      <c r="C22" s="2">
        <v>46088</v>
      </c>
      <c r="D22" s="10" t="s">
        <v>437</v>
      </c>
      <c r="E22" s="4"/>
      <c r="F22" s="34">
        <v>3000000</v>
      </c>
      <c r="G22" s="5">
        <f t="shared" si="0"/>
        <v>67756500</v>
      </c>
    </row>
    <row r="23" spans="2:10" ht="18.75" customHeight="1">
      <c r="B23" s="1">
        <v>17</v>
      </c>
      <c r="C23" s="2">
        <v>46088</v>
      </c>
      <c r="D23" s="10" t="s">
        <v>722</v>
      </c>
      <c r="E23" s="4"/>
      <c r="F23" s="33">
        <v>360000</v>
      </c>
      <c r="G23" s="5">
        <f t="shared" si="0"/>
        <v>67396500</v>
      </c>
    </row>
    <row r="24" spans="2:10" ht="18.75" customHeight="1">
      <c r="B24" s="1">
        <v>18</v>
      </c>
      <c r="C24" s="2">
        <v>46088</v>
      </c>
      <c r="D24" s="10" t="s">
        <v>723</v>
      </c>
      <c r="E24" s="4"/>
      <c r="F24" s="33">
        <v>1379000</v>
      </c>
      <c r="G24" s="5">
        <f t="shared" si="0"/>
        <v>66017500</v>
      </c>
    </row>
    <row r="25" spans="2:10" ht="18.75" customHeight="1">
      <c r="B25" s="1">
        <v>19</v>
      </c>
      <c r="C25" s="2">
        <v>46088</v>
      </c>
      <c r="D25" s="10" t="s">
        <v>96</v>
      </c>
      <c r="E25" s="4"/>
      <c r="F25" s="38">
        <v>360000</v>
      </c>
      <c r="G25" s="5">
        <f t="shared" si="0"/>
        <v>65657500</v>
      </c>
    </row>
    <row r="26" spans="2:10" ht="18.75" customHeight="1">
      <c r="B26" s="1">
        <v>20</v>
      </c>
      <c r="C26" s="2">
        <v>46088</v>
      </c>
      <c r="D26" s="10" t="s">
        <v>724</v>
      </c>
      <c r="E26" s="4"/>
      <c r="F26" s="38">
        <v>100000</v>
      </c>
      <c r="G26" s="5">
        <f t="shared" si="0"/>
        <v>65557500</v>
      </c>
    </row>
    <row r="27" spans="2:10" ht="18.75" customHeight="1">
      <c r="B27" s="1">
        <v>21</v>
      </c>
      <c r="C27" s="2">
        <v>46088</v>
      </c>
      <c r="D27" s="10" t="s">
        <v>725</v>
      </c>
      <c r="E27" s="4"/>
      <c r="F27" s="38">
        <v>30000</v>
      </c>
      <c r="G27" s="5">
        <f t="shared" si="0"/>
        <v>65527500</v>
      </c>
    </row>
    <row r="28" spans="2:10" ht="18.75" customHeight="1">
      <c r="B28" s="1">
        <v>22</v>
      </c>
      <c r="C28" s="2">
        <v>46088</v>
      </c>
      <c r="D28" s="10" t="s">
        <v>726</v>
      </c>
      <c r="E28" s="4"/>
      <c r="F28" s="38">
        <v>1100000</v>
      </c>
      <c r="G28" s="5">
        <f>G27-F28</f>
        <v>64427500</v>
      </c>
    </row>
    <row r="29" spans="2:10" ht="18.75" customHeight="1">
      <c r="B29" s="1">
        <v>23</v>
      </c>
      <c r="C29" s="2">
        <v>46089</v>
      </c>
      <c r="D29" s="10" t="s">
        <v>437</v>
      </c>
      <c r="E29" s="4"/>
      <c r="F29" s="34">
        <v>1000000</v>
      </c>
      <c r="G29" s="5">
        <f t="shared" ref="G29:G42" si="1">G28-F29</f>
        <v>63427500</v>
      </c>
    </row>
    <row r="30" spans="2:10" ht="18.75" customHeight="1">
      <c r="B30" s="1">
        <v>24</v>
      </c>
      <c r="C30" s="2">
        <v>46090</v>
      </c>
      <c r="D30" s="10" t="s">
        <v>727</v>
      </c>
      <c r="E30" s="4"/>
      <c r="F30" s="33">
        <v>2157000</v>
      </c>
      <c r="G30" s="5">
        <f t="shared" si="1"/>
        <v>61270500</v>
      </c>
    </row>
    <row r="31" spans="2:10" ht="18.75" customHeight="1">
      <c r="B31" s="1">
        <v>25</v>
      </c>
      <c r="C31" s="2">
        <v>46090</v>
      </c>
      <c r="D31" s="10" t="s">
        <v>728</v>
      </c>
      <c r="E31" s="4"/>
      <c r="F31" s="33">
        <v>100000</v>
      </c>
      <c r="G31" s="5">
        <f t="shared" si="1"/>
        <v>61170500</v>
      </c>
    </row>
    <row r="32" spans="2:10" ht="18.75" customHeight="1">
      <c r="B32" s="1">
        <v>26</v>
      </c>
      <c r="C32" s="2">
        <v>46090</v>
      </c>
      <c r="D32" s="10" t="s">
        <v>729</v>
      </c>
      <c r="E32" s="4"/>
      <c r="F32" s="33">
        <v>200000</v>
      </c>
      <c r="G32" s="5">
        <f t="shared" si="1"/>
        <v>60970500</v>
      </c>
    </row>
    <row r="33" spans="2:7" ht="18.75" customHeight="1">
      <c r="B33" s="1">
        <v>27</v>
      </c>
      <c r="C33" s="2">
        <v>46090</v>
      </c>
      <c r="D33" s="10" t="s">
        <v>730</v>
      </c>
      <c r="E33" s="4"/>
      <c r="F33" s="33">
        <v>15000</v>
      </c>
      <c r="G33" s="5">
        <f t="shared" si="1"/>
        <v>60955500</v>
      </c>
    </row>
    <row r="34" spans="2:7" ht="18.75" customHeight="1">
      <c r="B34" s="1">
        <v>28</v>
      </c>
      <c r="C34" s="2">
        <v>46090</v>
      </c>
      <c r="D34" s="10" t="s">
        <v>731</v>
      </c>
      <c r="E34" s="4"/>
      <c r="F34" s="33">
        <v>1107000</v>
      </c>
      <c r="G34" s="5">
        <f t="shared" si="1"/>
        <v>59848500</v>
      </c>
    </row>
    <row r="35" spans="2:7" ht="18.75" customHeight="1">
      <c r="B35" s="1">
        <v>29</v>
      </c>
      <c r="C35" s="2">
        <v>46090</v>
      </c>
      <c r="D35" s="10" t="s">
        <v>732</v>
      </c>
      <c r="E35" s="4"/>
      <c r="F35" s="33">
        <v>875000</v>
      </c>
      <c r="G35" s="5">
        <f t="shared" si="1"/>
        <v>58973500</v>
      </c>
    </row>
    <row r="36" spans="2:7" ht="18.75" customHeight="1">
      <c r="B36" s="1">
        <v>30</v>
      </c>
      <c r="C36" s="2">
        <v>46090</v>
      </c>
      <c r="D36" s="10" t="s">
        <v>360</v>
      </c>
      <c r="E36" s="4"/>
      <c r="F36" s="34">
        <v>520000</v>
      </c>
      <c r="G36" s="5">
        <f t="shared" si="1"/>
        <v>58453500</v>
      </c>
    </row>
    <row r="37" spans="2:7" ht="18.75" customHeight="1">
      <c r="B37" s="1">
        <v>31</v>
      </c>
      <c r="C37" s="2">
        <v>46091</v>
      </c>
      <c r="D37" s="10" t="s">
        <v>696</v>
      </c>
      <c r="E37" s="4"/>
      <c r="F37" s="33">
        <v>1674000</v>
      </c>
      <c r="G37" s="5">
        <f t="shared" si="1"/>
        <v>56779500</v>
      </c>
    </row>
    <row r="38" spans="2:7" ht="18.75" customHeight="1">
      <c r="B38" s="1">
        <v>32</v>
      </c>
      <c r="C38" s="2">
        <v>46092</v>
      </c>
      <c r="D38" s="10" t="s">
        <v>733</v>
      </c>
      <c r="E38" s="4"/>
      <c r="F38" s="33">
        <v>71000</v>
      </c>
      <c r="G38" s="5">
        <f t="shared" si="1"/>
        <v>56708500</v>
      </c>
    </row>
    <row r="39" spans="2:7" ht="18.75" customHeight="1">
      <c r="B39" s="1">
        <v>33</v>
      </c>
      <c r="C39" s="2">
        <v>46092</v>
      </c>
      <c r="D39" s="10" t="s">
        <v>615</v>
      </c>
      <c r="E39" s="4"/>
      <c r="F39" s="33">
        <v>1500000</v>
      </c>
      <c r="G39" s="5">
        <f t="shared" si="1"/>
        <v>55208500</v>
      </c>
    </row>
    <row r="40" spans="2:7" ht="18.75" customHeight="1">
      <c r="B40" s="1">
        <v>34</v>
      </c>
      <c r="C40" s="2">
        <v>46092</v>
      </c>
      <c r="D40" s="10" t="s">
        <v>734</v>
      </c>
      <c r="E40" s="4"/>
      <c r="F40" s="33">
        <v>3375000</v>
      </c>
      <c r="G40" s="5">
        <f t="shared" si="1"/>
        <v>51833500</v>
      </c>
    </row>
    <row r="41" spans="2:7" ht="18.75" customHeight="1">
      <c r="B41" s="1">
        <v>35</v>
      </c>
      <c r="C41" s="2">
        <v>46092</v>
      </c>
      <c r="D41" s="10" t="s">
        <v>735</v>
      </c>
      <c r="E41" s="4"/>
      <c r="F41" s="33">
        <v>2174400</v>
      </c>
      <c r="G41" s="5">
        <f t="shared" si="1"/>
        <v>49659100</v>
      </c>
    </row>
    <row r="42" spans="2:7" ht="18.75" customHeight="1">
      <c r="B42" s="1">
        <v>36</v>
      </c>
      <c r="C42" s="2">
        <v>46092</v>
      </c>
      <c r="D42" s="10" t="s">
        <v>437</v>
      </c>
      <c r="E42" s="4"/>
      <c r="F42" s="34">
        <v>1000000</v>
      </c>
      <c r="G42" s="5">
        <f t="shared" si="1"/>
        <v>48659100</v>
      </c>
    </row>
    <row r="43" spans="2:7" ht="18.75" customHeight="1">
      <c r="B43" s="1">
        <v>37</v>
      </c>
      <c r="C43" s="2">
        <v>46092</v>
      </c>
      <c r="D43" s="10" t="s">
        <v>560</v>
      </c>
      <c r="E43" s="4">
        <v>45000000</v>
      </c>
      <c r="F43" s="4"/>
      <c r="G43" s="5">
        <f>G42+E43</f>
        <v>93659100</v>
      </c>
    </row>
    <row r="44" spans="2:7" ht="18.75" customHeight="1">
      <c r="B44" s="1">
        <v>38</v>
      </c>
      <c r="C44" s="2">
        <v>46092</v>
      </c>
      <c r="D44" s="10" t="s">
        <v>736</v>
      </c>
      <c r="E44" s="4">
        <v>400000</v>
      </c>
      <c r="F44" s="4"/>
      <c r="G44" s="5">
        <f>G43+E44</f>
        <v>94059100</v>
      </c>
    </row>
    <row r="45" spans="2:7" ht="18.75" customHeight="1">
      <c r="B45" s="1">
        <v>39</v>
      </c>
      <c r="C45" s="2">
        <v>46092</v>
      </c>
      <c r="D45" s="10" t="s">
        <v>101</v>
      </c>
      <c r="E45" s="4"/>
      <c r="F45" s="38">
        <v>227500</v>
      </c>
      <c r="G45" s="5">
        <f>G44-F45</f>
        <v>93831600</v>
      </c>
    </row>
    <row r="46" spans="2:7" ht="18.75" customHeight="1">
      <c r="B46" s="1">
        <v>40</v>
      </c>
      <c r="C46" s="2">
        <v>46092</v>
      </c>
      <c r="D46" s="10" t="s">
        <v>457</v>
      </c>
      <c r="E46" s="4"/>
      <c r="F46" s="33">
        <v>160000</v>
      </c>
      <c r="G46" s="5">
        <f t="shared" ref="G46:G48" si="2">G45-F46</f>
        <v>93671600</v>
      </c>
    </row>
    <row r="47" spans="2:7" ht="18.75" customHeight="1">
      <c r="B47" s="1">
        <v>41</v>
      </c>
      <c r="C47" s="2">
        <v>46093</v>
      </c>
      <c r="D47" s="10" t="s">
        <v>737</v>
      </c>
      <c r="E47" s="4"/>
      <c r="F47" s="33">
        <v>1657275</v>
      </c>
      <c r="G47" s="5">
        <f t="shared" si="2"/>
        <v>92014325</v>
      </c>
    </row>
    <row r="48" spans="2:7" ht="18.75" customHeight="1">
      <c r="B48" s="1">
        <v>42</v>
      </c>
      <c r="C48" s="2">
        <v>46093</v>
      </c>
      <c r="D48" s="10" t="s">
        <v>738</v>
      </c>
      <c r="E48" s="4"/>
      <c r="F48" s="38">
        <v>100000</v>
      </c>
      <c r="G48" s="5">
        <f>G47-F48</f>
        <v>91914325</v>
      </c>
    </row>
    <row r="49" spans="2:9" ht="18.75" customHeight="1">
      <c r="B49" s="1">
        <v>43</v>
      </c>
      <c r="C49" s="2">
        <v>46093</v>
      </c>
      <c r="D49" s="10" t="s">
        <v>739</v>
      </c>
      <c r="E49" s="4"/>
      <c r="F49" s="38">
        <v>400000</v>
      </c>
      <c r="G49" s="5">
        <f t="shared" ref="G49:G112" si="3">G48-F49</f>
        <v>91514325</v>
      </c>
    </row>
    <row r="50" spans="2:9" ht="18.75" customHeight="1">
      <c r="B50" s="1">
        <v>44</v>
      </c>
      <c r="C50" s="2">
        <v>46094</v>
      </c>
      <c r="D50" s="10" t="s">
        <v>738</v>
      </c>
      <c r="E50" s="4"/>
      <c r="F50" s="38">
        <v>50000</v>
      </c>
      <c r="G50" s="5">
        <f t="shared" si="3"/>
        <v>91464325</v>
      </c>
    </row>
    <row r="51" spans="2:9" ht="18.75" customHeight="1">
      <c r="B51" s="1">
        <v>45</v>
      </c>
      <c r="C51" s="2">
        <v>46094</v>
      </c>
      <c r="D51" s="10" t="s">
        <v>437</v>
      </c>
      <c r="E51" s="4"/>
      <c r="F51" s="34">
        <v>2000000</v>
      </c>
      <c r="G51" s="5">
        <f t="shared" si="3"/>
        <v>89464325</v>
      </c>
    </row>
    <row r="52" spans="2:9" ht="18.75" customHeight="1">
      <c r="B52" s="1">
        <v>46</v>
      </c>
      <c r="C52" s="2">
        <v>46094</v>
      </c>
      <c r="D52" s="10" t="s">
        <v>740</v>
      </c>
      <c r="E52" s="4"/>
      <c r="F52" s="33">
        <v>203000</v>
      </c>
      <c r="G52" s="5">
        <f t="shared" si="3"/>
        <v>89261325</v>
      </c>
    </row>
    <row r="53" spans="2:9" ht="18.75" customHeight="1">
      <c r="B53" s="1">
        <v>47</v>
      </c>
      <c r="C53" s="2">
        <v>46094</v>
      </c>
      <c r="D53" s="10" t="s">
        <v>360</v>
      </c>
      <c r="E53" s="4"/>
      <c r="F53" s="34">
        <v>500000</v>
      </c>
      <c r="G53" s="5">
        <f t="shared" si="3"/>
        <v>88761325</v>
      </c>
    </row>
    <row r="54" spans="2:9" ht="18.75" customHeight="1">
      <c r="B54" s="1">
        <v>48</v>
      </c>
      <c r="C54" s="2">
        <v>46094</v>
      </c>
      <c r="D54" s="10" t="s">
        <v>739</v>
      </c>
      <c r="E54" s="4"/>
      <c r="F54" s="38">
        <v>412500</v>
      </c>
      <c r="G54" s="5">
        <f t="shared" si="3"/>
        <v>88348825</v>
      </c>
    </row>
    <row r="55" spans="2:9" ht="18.75" customHeight="1">
      <c r="B55" s="1">
        <v>49</v>
      </c>
      <c r="C55" s="2">
        <v>46095</v>
      </c>
      <c r="D55" s="10" t="s">
        <v>437</v>
      </c>
      <c r="E55" s="4"/>
      <c r="F55" s="34">
        <v>6500000</v>
      </c>
      <c r="G55" s="5">
        <f t="shared" si="3"/>
        <v>81848825</v>
      </c>
    </row>
    <row r="56" spans="2:9" ht="18.75" customHeight="1">
      <c r="B56" s="1">
        <v>50</v>
      </c>
      <c r="C56" s="2">
        <v>46095</v>
      </c>
      <c r="D56" s="10" t="s">
        <v>741</v>
      </c>
      <c r="E56" s="4"/>
      <c r="F56" s="33">
        <v>611000</v>
      </c>
      <c r="G56" s="5">
        <f t="shared" si="3"/>
        <v>81237825</v>
      </c>
    </row>
    <row r="57" spans="2:9" ht="18.75" customHeight="1">
      <c r="B57" s="1">
        <v>51</v>
      </c>
      <c r="C57" s="2">
        <v>46097</v>
      </c>
      <c r="D57" s="10" t="s">
        <v>742</v>
      </c>
      <c r="E57" s="4"/>
      <c r="F57" s="33">
        <v>45000</v>
      </c>
      <c r="G57" s="5">
        <f t="shared" si="3"/>
        <v>81192825</v>
      </c>
    </row>
    <row r="58" spans="2:9" ht="18.75" customHeight="1">
      <c r="B58" s="1">
        <v>52</v>
      </c>
      <c r="C58" s="2">
        <v>46097</v>
      </c>
      <c r="D58" s="10" t="s">
        <v>743</v>
      </c>
      <c r="E58" s="4"/>
      <c r="F58" s="33">
        <v>50000</v>
      </c>
      <c r="G58" s="5">
        <f t="shared" si="3"/>
        <v>81142825</v>
      </c>
    </row>
    <row r="59" spans="2:9" ht="18.75" customHeight="1">
      <c r="B59" s="1">
        <v>53</v>
      </c>
      <c r="C59" s="2">
        <v>46097</v>
      </c>
      <c r="D59" s="10" t="s">
        <v>744</v>
      </c>
      <c r="E59" s="4"/>
      <c r="F59" s="38">
        <v>154000</v>
      </c>
      <c r="G59" s="5">
        <f t="shared" si="3"/>
        <v>80988825</v>
      </c>
      <c r="I59" s="35"/>
    </row>
    <row r="60" spans="2:9" ht="18.75" customHeight="1">
      <c r="B60" s="1">
        <v>54</v>
      </c>
      <c r="C60" s="2">
        <v>46097</v>
      </c>
      <c r="D60" s="10" t="s">
        <v>745</v>
      </c>
      <c r="E60" s="4"/>
      <c r="F60" s="33">
        <v>1380000</v>
      </c>
      <c r="G60" s="5">
        <f t="shared" si="3"/>
        <v>79608825</v>
      </c>
      <c r="I60" s="35"/>
    </row>
    <row r="61" spans="2:9" ht="18.75" customHeight="1">
      <c r="B61" s="1">
        <v>55</v>
      </c>
      <c r="C61" s="2">
        <v>46097</v>
      </c>
      <c r="D61" s="10" t="s">
        <v>746</v>
      </c>
      <c r="E61" s="4"/>
      <c r="F61" s="38">
        <v>50000</v>
      </c>
      <c r="G61" s="5">
        <f t="shared" si="3"/>
        <v>79558825</v>
      </c>
    </row>
    <row r="62" spans="2:9" ht="18.75" customHeight="1">
      <c r="B62" s="1">
        <v>56</v>
      </c>
      <c r="C62" s="2">
        <v>46097</v>
      </c>
      <c r="D62" s="10" t="s">
        <v>96</v>
      </c>
      <c r="E62" s="4"/>
      <c r="F62" s="38">
        <v>89500</v>
      </c>
      <c r="G62" s="5">
        <f t="shared" si="3"/>
        <v>79469325</v>
      </c>
    </row>
    <row r="63" spans="2:9" ht="18.75" customHeight="1">
      <c r="B63" s="1">
        <v>57</v>
      </c>
      <c r="C63" s="2">
        <v>46097</v>
      </c>
      <c r="D63" s="10" t="s">
        <v>747</v>
      </c>
      <c r="E63" s="4"/>
      <c r="F63" s="38">
        <v>44300</v>
      </c>
      <c r="G63" s="5">
        <f t="shared" si="3"/>
        <v>79425025</v>
      </c>
    </row>
    <row r="64" spans="2:9" ht="18.75" customHeight="1">
      <c r="B64" s="1">
        <v>58</v>
      </c>
      <c r="C64" s="2">
        <v>46097</v>
      </c>
      <c r="D64" s="10" t="s">
        <v>748</v>
      </c>
      <c r="E64" s="4"/>
      <c r="F64" s="33">
        <v>170000</v>
      </c>
      <c r="G64" s="5">
        <f t="shared" si="3"/>
        <v>79255025</v>
      </c>
    </row>
    <row r="65" spans="2:7" ht="18.75" customHeight="1">
      <c r="B65" s="1">
        <v>59</v>
      </c>
      <c r="C65" s="2">
        <v>46098</v>
      </c>
      <c r="D65" s="10" t="s">
        <v>437</v>
      </c>
      <c r="E65" s="4"/>
      <c r="F65" s="34">
        <v>4500000</v>
      </c>
      <c r="G65" s="5">
        <f t="shared" si="3"/>
        <v>74755025</v>
      </c>
    </row>
    <row r="66" spans="2:7" ht="18.75" customHeight="1">
      <c r="B66" s="1">
        <v>60</v>
      </c>
      <c r="C66" s="2">
        <v>46098</v>
      </c>
      <c r="D66" s="10" t="s">
        <v>749</v>
      </c>
      <c r="E66" s="4"/>
      <c r="F66" s="34">
        <v>1000000</v>
      </c>
      <c r="G66" s="5">
        <f t="shared" si="3"/>
        <v>73755025</v>
      </c>
    </row>
    <row r="67" spans="2:7" ht="18.75" customHeight="1">
      <c r="B67" s="1">
        <v>61</v>
      </c>
      <c r="C67" s="2">
        <v>46098</v>
      </c>
      <c r="D67" s="10" t="s">
        <v>365</v>
      </c>
      <c r="E67" s="4"/>
      <c r="F67" s="34">
        <v>2020000</v>
      </c>
      <c r="G67" s="5">
        <f t="shared" si="3"/>
        <v>71735025</v>
      </c>
    </row>
    <row r="68" spans="2:7" ht="18.75" customHeight="1">
      <c r="B68" s="1">
        <v>62</v>
      </c>
      <c r="C68" s="2">
        <v>46098</v>
      </c>
      <c r="D68" s="10" t="s">
        <v>750</v>
      </c>
      <c r="E68" s="4"/>
      <c r="F68" s="34">
        <v>500000</v>
      </c>
      <c r="G68" s="5">
        <f t="shared" si="3"/>
        <v>71235025</v>
      </c>
    </row>
    <row r="69" spans="2:7" ht="18.75" customHeight="1">
      <c r="B69" s="1">
        <v>63</v>
      </c>
      <c r="C69" s="2">
        <v>46098</v>
      </c>
      <c r="D69" s="10" t="s">
        <v>751</v>
      </c>
      <c r="E69" s="4"/>
      <c r="F69" s="38">
        <v>190000</v>
      </c>
      <c r="G69" s="5">
        <f t="shared" si="3"/>
        <v>71045025</v>
      </c>
    </row>
    <row r="70" spans="2:7" ht="18.75" customHeight="1">
      <c r="B70" s="1">
        <v>64</v>
      </c>
      <c r="C70" s="2">
        <v>46105</v>
      </c>
      <c r="D70" s="10" t="s">
        <v>462</v>
      </c>
      <c r="E70" s="4"/>
      <c r="F70" s="33">
        <v>203802</v>
      </c>
      <c r="G70" s="5">
        <f t="shared" si="3"/>
        <v>70841223</v>
      </c>
    </row>
    <row r="71" spans="2:7" ht="18.75" customHeight="1">
      <c r="B71" s="1">
        <v>65</v>
      </c>
      <c r="C71" s="2">
        <v>46105</v>
      </c>
      <c r="D71" s="10" t="s">
        <v>752</v>
      </c>
      <c r="E71" s="4"/>
      <c r="F71" s="33">
        <v>183689</v>
      </c>
      <c r="G71" s="5">
        <f t="shared" si="3"/>
        <v>70657534</v>
      </c>
    </row>
    <row r="72" spans="2:7" ht="18.75" customHeight="1">
      <c r="B72" s="1">
        <v>66</v>
      </c>
      <c r="C72" s="2">
        <v>46105</v>
      </c>
      <c r="D72" s="10" t="s">
        <v>753</v>
      </c>
      <c r="E72" s="4"/>
      <c r="F72" s="33">
        <v>1789953</v>
      </c>
      <c r="G72" s="5">
        <f t="shared" si="3"/>
        <v>68867581</v>
      </c>
    </row>
    <row r="73" spans="2:7" ht="18.75" customHeight="1">
      <c r="B73" s="1">
        <v>67</v>
      </c>
      <c r="C73" s="2">
        <v>46106</v>
      </c>
      <c r="D73" s="10" t="s">
        <v>437</v>
      </c>
      <c r="E73" s="4"/>
      <c r="F73" s="34">
        <v>1000000</v>
      </c>
      <c r="G73" s="5">
        <f t="shared" si="3"/>
        <v>67867581</v>
      </c>
    </row>
    <row r="74" spans="2:7" ht="18.75" customHeight="1">
      <c r="B74" s="1">
        <v>68</v>
      </c>
      <c r="C74" s="2">
        <v>46108</v>
      </c>
      <c r="D74" s="10" t="s">
        <v>754</v>
      </c>
      <c r="E74" s="4"/>
      <c r="F74" s="33">
        <v>1350000</v>
      </c>
      <c r="G74" s="5">
        <f t="shared" si="3"/>
        <v>66517581</v>
      </c>
    </row>
    <row r="75" spans="2:7" ht="18.75" customHeight="1">
      <c r="B75" s="1">
        <v>69</v>
      </c>
      <c r="C75" s="2">
        <v>46108</v>
      </c>
      <c r="D75" s="10" t="s">
        <v>360</v>
      </c>
      <c r="E75" s="4"/>
      <c r="F75" s="34">
        <v>500000</v>
      </c>
      <c r="G75" s="5">
        <f t="shared" si="3"/>
        <v>66017581</v>
      </c>
    </row>
    <row r="76" spans="2:7" ht="18.75" customHeight="1">
      <c r="B76" s="1">
        <v>70</v>
      </c>
      <c r="C76" s="2">
        <v>46109</v>
      </c>
      <c r="D76" s="10" t="s">
        <v>437</v>
      </c>
      <c r="E76" s="4"/>
      <c r="F76" s="34">
        <v>1500000</v>
      </c>
      <c r="G76" s="5">
        <f t="shared" si="3"/>
        <v>64517581</v>
      </c>
    </row>
    <row r="77" spans="2:7" ht="18.75" customHeight="1">
      <c r="B77" s="1">
        <v>71</v>
      </c>
      <c r="C77" s="2">
        <v>46111</v>
      </c>
      <c r="D77" s="10" t="s">
        <v>739</v>
      </c>
      <c r="E77" s="4"/>
      <c r="F77" s="38">
        <v>95000</v>
      </c>
      <c r="G77" s="5">
        <f t="shared" si="3"/>
        <v>64422581</v>
      </c>
    </row>
    <row r="78" spans="2:7" ht="18.75" customHeight="1">
      <c r="B78" s="1">
        <v>72</v>
      </c>
      <c r="C78" s="2">
        <v>46111</v>
      </c>
      <c r="D78" s="10" t="s">
        <v>360</v>
      </c>
      <c r="E78" s="4"/>
      <c r="F78" s="34">
        <v>500000</v>
      </c>
      <c r="G78" s="5">
        <f t="shared" si="3"/>
        <v>63922581</v>
      </c>
    </row>
    <row r="79" spans="2:7" ht="18.75" customHeight="1">
      <c r="B79" s="1">
        <v>73</v>
      </c>
      <c r="C79" s="2">
        <v>46112</v>
      </c>
      <c r="D79" s="10" t="s">
        <v>748</v>
      </c>
      <c r="E79" s="4"/>
      <c r="F79" s="33">
        <v>105000</v>
      </c>
      <c r="G79" s="5">
        <f t="shared" si="3"/>
        <v>63817581</v>
      </c>
    </row>
    <row r="80" spans="2:7" ht="18.75" customHeight="1">
      <c r="B80" s="1">
        <v>74</v>
      </c>
      <c r="C80" s="2">
        <v>46113</v>
      </c>
      <c r="D80" s="10" t="s">
        <v>755</v>
      </c>
      <c r="E80" s="4"/>
      <c r="F80" s="38">
        <v>250000</v>
      </c>
      <c r="G80" s="5">
        <f t="shared" si="3"/>
        <v>63567581</v>
      </c>
    </row>
    <row r="81" spans="2:7" ht="18.75" customHeight="1">
      <c r="B81" s="1">
        <v>75</v>
      </c>
      <c r="C81" s="2">
        <v>46113</v>
      </c>
      <c r="D81" s="10" t="s">
        <v>756</v>
      </c>
      <c r="E81" s="4"/>
      <c r="F81" s="33">
        <v>356200</v>
      </c>
      <c r="G81" s="5">
        <f t="shared" si="3"/>
        <v>63211381</v>
      </c>
    </row>
    <row r="82" spans="2:7" ht="18.75" customHeight="1">
      <c r="B82" s="1">
        <v>76</v>
      </c>
      <c r="C82" s="2">
        <v>46113</v>
      </c>
      <c r="D82" s="10" t="s">
        <v>757</v>
      </c>
      <c r="E82" s="4"/>
      <c r="F82" s="33">
        <v>343000</v>
      </c>
      <c r="G82" s="5">
        <f t="shared" si="3"/>
        <v>62868381</v>
      </c>
    </row>
    <row r="83" spans="2:7" ht="18.75" customHeight="1">
      <c r="B83" s="1">
        <v>77</v>
      </c>
      <c r="C83" s="2">
        <v>46113</v>
      </c>
      <c r="D83" s="10" t="s">
        <v>758</v>
      </c>
      <c r="E83" s="4"/>
      <c r="F83" s="33">
        <v>223500</v>
      </c>
      <c r="G83" s="5">
        <f t="shared" si="3"/>
        <v>62644881</v>
      </c>
    </row>
    <row r="84" spans="2:7" ht="18.75" customHeight="1">
      <c r="B84" s="1">
        <v>78</v>
      </c>
      <c r="C84" s="2">
        <v>46113</v>
      </c>
      <c r="D84" s="10" t="s">
        <v>759</v>
      </c>
      <c r="E84" s="4">
        <v>10000000</v>
      </c>
      <c r="F84" s="4"/>
      <c r="G84" s="5">
        <f>G83+E84</f>
        <v>72644881</v>
      </c>
    </row>
    <row r="85" spans="2:7" ht="18.75" customHeight="1">
      <c r="B85" s="1">
        <v>79</v>
      </c>
      <c r="C85" s="2">
        <v>46114</v>
      </c>
      <c r="D85" s="10" t="s">
        <v>760</v>
      </c>
      <c r="E85" s="4"/>
      <c r="F85" s="33">
        <v>140000</v>
      </c>
      <c r="G85" s="5">
        <f t="shared" si="3"/>
        <v>72504881</v>
      </c>
    </row>
    <row r="86" spans="2:7" ht="18.75" customHeight="1">
      <c r="B86" s="1">
        <v>80</v>
      </c>
      <c r="C86" s="2">
        <v>46114</v>
      </c>
      <c r="D86" s="10" t="s">
        <v>761</v>
      </c>
      <c r="E86" s="4"/>
      <c r="F86" s="33">
        <v>1055000</v>
      </c>
      <c r="G86" s="5">
        <f t="shared" si="3"/>
        <v>71449881</v>
      </c>
    </row>
    <row r="87" spans="2:7" ht="18.75" customHeight="1">
      <c r="B87" s="1">
        <v>81</v>
      </c>
      <c r="C87" s="2">
        <v>46114</v>
      </c>
      <c r="D87" s="10" t="s">
        <v>762</v>
      </c>
      <c r="E87" s="4"/>
      <c r="F87" s="33">
        <v>416660</v>
      </c>
      <c r="G87" s="5">
        <f t="shared" si="3"/>
        <v>71033221</v>
      </c>
    </row>
    <row r="88" spans="2:7" ht="18.75" customHeight="1">
      <c r="B88" s="1">
        <v>82</v>
      </c>
      <c r="C88" s="2">
        <v>46114</v>
      </c>
      <c r="D88" s="10" t="s">
        <v>763</v>
      </c>
      <c r="E88" s="4"/>
      <c r="F88" s="33">
        <v>4348000</v>
      </c>
      <c r="G88" s="5">
        <f t="shared" si="3"/>
        <v>66685221</v>
      </c>
    </row>
    <row r="89" spans="2:7" ht="18.75" customHeight="1">
      <c r="B89" s="1">
        <v>83</v>
      </c>
      <c r="C89" s="2">
        <v>46115</v>
      </c>
      <c r="D89" s="10" t="s">
        <v>764</v>
      </c>
      <c r="E89" s="4"/>
      <c r="F89" s="33">
        <v>186000</v>
      </c>
      <c r="G89" s="5">
        <f t="shared" si="3"/>
        <v>66499221</v>
      </c>
    </row>
    <row r="90" spans="2:7" ht="18.75" customHeight="1">
      <c r="B90" s="1">
        <v>84</v>
      </c>
      <c r="C90" s="2">
        <v>46116</v>
      </c>
      <c r="D90" s="10" t="s">
        <v>684</v>
      </c>
      <c r="E90" s="4"/>
      <c r="F90" s="38">
        <v>300000</v>
      </c>
      <c r="G90" s="5">
        <f t="shared" si="3"/>
        <v>66199221</v>
      </c>
    </row>
    <row r="91" spans="2:7" ht="18.75" customHeight="1">
      <c r="B91" s="1">
        <v>85</v>
      </c>
      <c r="C91" s="2">
        <v>46116</v>
      </c>
      <c r="D91" s="10" t="s">
        <v>365</v>
      </c>
      <c r="E91" s="4"/>
      <c r="F91" s="34">
        <v>1450000</v>
      </c>
      <c r="G91" s="5">
        <f t="shared" si="3"/>
        <v>64749221</v>
      </c>
    </row>
    <row r="92" spans="2:7" ht="18.75" customHeight="1">
      <c r="B92" s="1">
        <v>86</v>
      </c>
      <c r="C92" s="2">
        <v>46116</v>
      </c>
      <c r="D92" s="10" t="s">
        <v>437</v>
      </c>
      <c r="E92" s="4"/>
      <c r="F92" s="34">
        <v>4000000</v>
      </c>
      <c r="G92" s="5">
        <f t="shared" si="3"/>
        <v>60749221</v>
      </c>
    </row>
    <row r="93" spans="2:7" ht="18.75" customHeight="1">
      <c r="B93" s="1">
        <v>87</v>
      </c>
      <c r="C93" s="2">
        <v>46117</v>
      </c>
      <c r="D93" s="44" t="s">
        <v>765</v>
      </c>
      <c r="E93" s="4"/>
      <c r="F93" s="38">
        <v>407000</v>
      </c>
      <c r="G93" s="5">
        <f t="shared" si="3"/>
        <v>60342221</v>
      </c>
    </row>
    <row r="94" spans="2:7" ht="18.75" customHeight="1">
      <c r="B94" s="1">
        <v>88</v>
      </c>
      <c r="C94" s="2">
        <v>46118</v>
      </c>
      <c r="D94" s="10" t="s">
        <v>766</v>
      </c>
      <c r="E94" s="4"/>
      <c r="F94" s="33">
        <v>87000</v>
      </c>
      <c r="G94" s="5">
        <f t="shared" si="3"/>
        <v>60255221</v>
      </c>
    </row>
    <row r="95" spans="2:7" ht="18.75" customHeight="1">
      <c r="B95" s="1">
        <v>89</v>
      </c>
      <c r="C95" s="2">
        <v>46118</v>
      </c>
      <c r="D95" s="10" t="s">
        <v>767</v>
      </c>
      <c r="E95" s="4"/>
      <c r="F95" s="33">
        <v>1055000</v>
      </c>
      <c r="G95" s="5">
        <f t="shared" si="3"/>
        <v>59200221</v>
      </c>
    </row>
    <row r="96" spans="2:7" ht="18.75" customHeight="1">
      <c r="B96" s="1">
        <v>90</v>
      </c>
      <c r="C96" s="2">
        <v>46118</v>
      </c>
      <c r="D96" s="10" t="s">
        <v>768</v>
      </c>
      <c r="E96" s="4"/>
      <c r="F96" s="38">
        <v>150000</v>
      </c>
      <c r="G96" s="5">
        <f t="shared" si="3"/>
        <v>59050221</v>
      </c>
    </row>
    <row r="97" spans="2:7" ht="18.75" customHeight="1">
      <c r="B97" s="1">
        <v>91</v>
      </c>
      <c r="C97" s="2">
        <v>46119</v>
      </c>
      <c r="D97" s="10" t="s">
        <v>769</v>
      </c>
      <c r="E97" s="4"/>
      <c r="F97" s="38">
        <v>350000</v>
      </c>
      <c r="G97" s="5">
        <f t="shared" si="3"/>
        <v>58700221</v>
      </c>
    </row>
    <row r="98" spans="2:7" ht="18.75" customHeight="1">
      <c r="B98" s="1">
        <v>92</v>
      </c>
      <c r="C98" s="2">
        <v>46119</v>
      </c>
      <c r="D98" s="10" t="s">
        <v>770</v>
      </c>
      <c r="E98" s="4"/>
      <c r="F98" s="33">
        <v>3300000</v>
      </c>
      <c r="G98" s="5">
        <f t="shared" si="3"/>
        <v>55400221</v>
      </c>
    </row>
    <row r="99" spans="2:7" ht="18.75" customHeight="1">
      <c r="B99" s="1">
        <v>93</v>
      </c>
      <c r="C99" s="2">
        <v>46119</v>
      </c>
      <c r="D99" s="10" t="s">
        <v>771</v>
      </c>
      <c r="E99" s="4"/>
      <c r="F99" s="33">
        <v>1039000</v>
      </c>
      <c r="G99" s="5">
        <f t="shared" si="3"/>
        <v>54361221</v>
      </c>
    </row>
    <row r="100" spans="2:7" ht="18.75" customHeight="1">
      <c r="B100" s="1">
        <v>94</v>
      </c>
      <c r="C100" s="2">
        <v>46119</v>
      </c>
      <c r="D100" s="10" t="s">
        <v>772</v>
      </c>
      <c r="E100" s="4"/>
      <c r="F100" s="33">
        <v>17700000</v>
      </c>
      <c r="G100" s="5">
        <f t="shared" si="3"/>
        <v>36661221</v>
      </c>
    </row>
    <row r="101" spans="2:7" ht="18.75" customHeight="1">
      <c r="B101" s="1">
        <v>95</v>
      </c>
      <c r="C101" s="2">
        <v>46119</v>
      </c>
      <c r="D101" s="10" t="s">
        <v>698</v>
      </c>
      <c r="E101" s="4"/>
      <c r="F101" s="34">
        <v>1000000</v>
      </c>
      <c r="G101" s="5">
        <f t="shared" si="3"/>
        <v>35661221</v>
      </c>
    </row>
    <row r="102" spans="2:7" ht="18.75" customHeight="1">
      <c r="B102" s="1">
        <v>96</v>
      </c>
      <c r="C102" s="2">
        <v>46120</v>
      </c>
      <c r="D102" s="10" t="s">
        <v>299</v>
      </c>
      <c r="E102" s="4"/>
      <c r="F102" s="38">
        <v>25000</v>
      </c>
      <c r="G102" s="5">
        <f t="shared" si="3"/>
        <v>35636221</v>
      </c>
    </row>
    <row r="103" spans="2:7" ht="18.75" customHeight="1">
      <c r="B103" s="1">
        <v>97</v>
      </c>
      <c r="C103" s="2">
        <v>46120</v>
      </c>
      <c r="D103" s="10" t="s">
        <v>773</v>
      </c>
      <c r="E103" s="4"/>
      <c r="F103" s="33">
        <v>866500</v>
      </c>
      <c r="G103" s="5">
        <f t="shared" si="3"/>
        <v>34769721</v>
      </c>
    </row>
    <row r="104" spans="2:7" ht="18.75" customHeight="1">
      <c r="B104" s="1">
        <v>98</v>
      </c>
      <c r="C104" s="2">
        <v>46120</v>
      </c>
      <c r="D104" s="10" t="s">
        <v>457</v>
      </c>
      <c r="E104" s="4"/>
      <c r="F104" s="33">
        <v>260000</v>
      </c>
      <c r="G104" s="5">
        <f t="shared" si="3"/>
        <v>34509721</v>
      </c>
    </row>
    <row r="105" spans="2:7" ht="18.75" customHeight="1">
      <c r="B105" s="1">
        <v>99</v>
      </c>
      <c r="C105" s="2">
        <v>46120</v>
      </c>
      <c r="D105" s="10" t="s">
        <v>643</v>
      </c>
      <c r="E105" s="4"/>
      <c r="F105" s="33">
        <v>1375000</v>
      </c>
      <c r="G105" s="5">
        <f t="shared" si="3"/>
        <v>33134721</v>
      </c>
    </row>
    <row r="106" spans="2:7" ht="18.75" customHeight="1">
      <c r="B106" s="1">
        <v>100</v>
      </c>
      <c r="C106" s="2">
        <v>46120</v>
      </c>
      <c r="D106" s="10" t="s">
        <v>360</v>
      </c>
      <c r="E106" s="4"/>
      <c r="F106" s="34">
        <v>300000</v>
      </c>
      <c r="G106" s="5">
        <f t="shared" si="3"/>
        <v>32834721</v>
      </c>
    </row>
    <row r="107" spans="2:7" ht="18.75" customHeight="1">
      <c r="B107" s="1">
        <v>101</v>
      </c>
      <c r="C107" s="2">
        <v>46120</v>
      </c>
      <c r="D107" s="10" t="s">
        <v>774</v>
      </c>
      <c r="E107" s="4"/>
      <c r="F107" s="38">
        <v>250000</v>
      </c>
      <c r="G107" s="5">
        <f t="shared" si="3"/>
        <v>32584721</v>
      </c>
    </row>
    <row r="108" spans="2:7" ht="18.75" customHeight="1">
      <c r="B108" s="1">
        <v>102</v>
      </c>
      <c r="C108" s="2">
        <v>46122</v>
      </c>
      <c r="D108" s="10" t="s">
        <v>775</v>
      </c>
      <c r="E108" s="4">
        <v>38000000</v>
      </c>
      <c r="F108" s="4"/>
      <c r="G108" s="5">
        <f>G107+E108</f>
        <v>70584721</v>
      </c>
    </row>
    <row r="109" spans="2:7" ht="18.75" customHeight="1">
      <c r="B109" s="1">
        <v>103</v>
      </c>
      <c r="C109" s="2">
        <v>46122</v>
      </c>
      <c r="D109" s="10" t="s">
        <v>776</v>
      </c>
      <c r="E109" s="4"/>
      <c r="F109" s="33">
        <v>859000</v>
      </c>
      <c r="G109" s="5">
        <f t="shared" si="3"/>
        <v>69725721</v>
      </c>
    </row>
    <row r="110" spans="2:7" ht="18.75" customHeight="1">
      <c r="B110" s="1">
        <v>104</v>
      </c>
      <c r="C110" s="2">
        <v>46122</v>
      </c>
      <c r="D110" s="10" t="s">
        <v>777</v>
      </c>
      <c r="E110" s="4"/>
      <c r="F110" s="33">
        <v>60000</v>
      </c>
      <c r="G110" s="5">
        <f t="shared" si="3"/>
        <v>69665721</v>
      </c>
    </row>
    <row r="111" spans="2:7" ht="18.75" customHeight="1">
      <c r="B111" s="1">
        <v>105</v>
      </c>
      <c r="C111" s="2">
        <v>46122</v>
      </c>
      <c r="D111" s="10" t="s">
        <v>778</v>
      </c>
      <c r="E111" s="4"/>
      <c r="F111" s="33">
        <v>5800000</v>
      </c>
      <c r="G111" s="5">
        <f t="shared" si="3"/>
        <v>63865721</v>
      </c>
    </row>
    <row r="112" spans="2:7" ht="18.75" customHeight="1">
      <c r="B112" s="1">
        <v>106</v>
      </c>
      <c r="C112" s="2">
        <v>46123</v>
      </c>
      <c r="D112" s="10" t="s">
        <v>779</v>
      </c>
      <c r="E112" s="4"/>
      <c r="F112" s="33">
        <v>1171000</v>
      </c>
      <c r="G112" s="5">
        <f t="shared" si="3"/>
        <v>62694721</v>
      </c>
    </row>
    <row r="113" spans="2:7" ht="18.75" customHeight="1">
      <c r="B113" s="1">
        <v>107</v>
      </c>
      <c r="C113" s="2">
        <v>46123</v>
      </c>
      <c r="D113" s="10" t="s">
        <v>365</v>
      </c>
      <c r="E113" s="4"/>
      <c r="F113" s="34">
        <f>1900000+540000</f>
        <v>2440000</v>
      </c>
      <c r="G113" s="5">
        <f t="shared" ref="G113:G118" si="4">G112-F113</f>
        <v>60254721</v>
      </c>
    </row>
    <row r="114" spans="2:7" ht="18.75" customHeight="1">
      <c r="B114" s="1">
        <v>108</v>
      </c>
      <c r="C114" s="2">
        <v>46123</v>
      </c>
      <c r="D114" s="10" t="s">
        <v>748</v>
      </c>
      <c r="E114" s="4"/>
      <c r="F114" s="33">
        <v>286000</v>
      </c>
      <c r="G114" s="5">
        <f t="shared" si="4"/>
        <v>59968721</v>
      </c>
    </row>
    <row r="115" spans="2:7" ht="18.75" customHeight="1">
      <c r="B115" s="1">
        <v>109</v>
      </c>
      <c r="C115" s="2">
        <v>46123</v>
      </c>
      <c r="D115" s="10" t="s">
        <v>129</v>
      </c>
      <c r="E115" s="4"/>
      <c r="F115" s="38">
        <v>100000</v>
      </c>
      <c r="G115" s="5">
        <f t="shared" si="4"/>
        <v>59868721</v>
      </c>
    </row>
    <row r="116" spans="2:7" ht="18.75" customHeight="1">
      <c r="B116" s="1">
        <v>110</v>
      </c>
      <c r="C116" s="2">
        <v>46125</v>
      </c>
      <c r="D116" s="10" t="s">
        <v>776</v>
      </c>
      <c r="E116" s="4"/>
      <c r="F116" s="33">
        <v>1850000</v>
      </c>
      <c r="G116" s="5">
        <f t="shared" si="4"/>
        <v>58018721</v>
      </c>
    </row>
    <row r="117" spans="2:7" ht="18.75" customHeight="1">
      <c r="B117" s="1">
        <v>111</v>
      </c>
      <c r="C117" s="2">
        <v>46126</v>
      </c>
      <c r="D117" s="10" t="s">
        <v>360</v>
      </c>
      <c r="E117" s="4"/>
      <c r="F117" s="34">
        <v>1000000</v>
      </c>
      <c r="G117" s="5">
        <f t="shared" si="4"/>
        <v>57018721</v>
      </c>
    </row>
    <row r="118" spans="2:7" ht="18.75" customHeight="1">
      <c r="B118" s="1">
        <v>112</v>
      </c>
      <c r="C118" s="2">
        <v>46127</v>
      </c>
      <c r="D118" s="10" t="s">
        <v>780</v>
      </c>
      <c r="E118" s="4"/>
      <c r="F118" s="33">
        <v>37500</v>
      </c>
      <c r="G118" s="5">
        <f t="shared" si="4"/>
        <v>56981221</v>
      </c>
    </row>
    <row r="119" spans="2:7" ht="18.75" customHeight="1">
      <c r="B119" s="1">
        <v>113</v>
      </c>
      <c r="C119" s="2">
        <v>46127</v>
      </c>
      <c r="D119" s="10" t="s">
        <v>781</v>
      </c>
      <c r="E119" s="4">
        <v>18000000</v>
      </c>
      <c r="F119" s="4"/>
      <c r="G119" s="5">
        <f>G118+E119</f>
        <v>74981221</v>
      </c>
    </row>
    <row r="120" spans="2:7" ht="18.75" customHeight="1">
      <c r="B120" s="1">
        <v>114</v>
      </c>
      <c r="C120" s="2">
        <v>46127</v>
      </c>
      <c r="D120" s="10" t="s">
        <v>684</v>
      </c>
      <c r="E120" s="4"/>
      <c r="F120" s="38">
        <v>165000</v>
      </c>
      <c r="G120" s="5">
        <f>G119-F120</f>
        <v>74816221</v>
      </c>
    </row>
    <row r="121" spans="2:7" ht="18.75" customHeight="1">
      <c r="B121" s="1">
        <v>115</v>
      </c>
      <c r="C121" s="2">
        <v>46127</v>
      </c>
      <c r="D121" s="10" t="s">
        <v>782</v>
      </c>
      <c r="E121" s="4"/>
      <c r="F121" s="33">
        <v>700000</v>
      </c>
      <c r="G121" s="5">
        <f t="shared" ref="G121:G163" si="5">G120-F121</f>
        <v>74116221</v>
      </c>
    </row>
    <row r="122" spans="2:7" ht="18.75" customHeight="1">
      <c r="B122" s="1">
        <v>116</v>
      </c>
      <c r="C122" s="2">
        <v>46127</v>
      </c>
      <c r="D122" s="10" t="s">
        <v>445</v>
      </c>
      <c r="E122" s="4"/>
      <c r="F122" s="33">
        <v>105500</v>
      </c>
      <c r="G122" s="5">
        <f t="shared" si="5"/>
        <v>74010721</v>
      </c>
    </row>
    <row r="123" spans="2:7" ht="18.75" customHeight="1">
      <c r="B123" s="1">
        <v>117</v>
      </c>
      <c r="C123" s="2">
        <v>46127</v>
      </c>
      <c r="D123" s="10" t="s">
        <v>437</v>
      </c>
      <c r="E123" s="4"/>
      <c r="F123" s="34">
        <v>1500000</v>
      </c>
      <c r="G123" s="5">
        <f t="shared" si="5"/>
        <v>72510721</v>
      </c>
    </row>
    <row r="124" spans="2:7" ht="18.75" customHeight="1">
      <c r="B124" s="1">
        <v>118</v>
      </c>
      <c r="C124" s="2">
        <v>46127</v>
      </c>
      <c r="D124" s="10" t="s">
        <v>299</v>
      </c>
      <c r="E124" s="4"/>
      <c r="F124" s="38">
        <v>40000</v>
      </c>
      <c r="G124" s="5">
        <f t="shared" si="5"/>
        <v>72470721</v>
      </c>
    </row>
    <row r="125" spans="2:7" ht="18.75" customHeight="1">
      <c r="B125" s="1">
        <v>119</v>
      </c>
      <c r="C125" s="2">
        <v>46128</v>
      </c>
      <c r="D125" s="10" t="s">
        <v>783</v>
      </c>
      <c r="E125" s="4"/>
      <c r="F125" s="33">
        <v>290000</v>
      </c>
      <c r="G125" s="5">
        <f t="shared" si="5"/>
        <v>72180721</v>
      </c>
    </row>
    <row r="126" spans="2:7" ht="18.75" customHeight="1">
      <c r="B126" s="1">
        <v>120</v>
      </c>
      <c r="C126" s="2">
        <v>46128</v>
      </c>
      <c r="D126" s="10" t="s">
        <v>784</v>
      </c>
      <c r="E126" s="4"/>
      <c r="F126" s="33">
        <v>185000</v>
      </c>
      <c r="G126" s="5">
        <f t="shared" si="5"/>
        <v>71995721</v>
      </c>
    </row>
    <row r="127" spans="2:7" ht="18.75" customHeight="1">
      <c r="B127" s="1">
        <v>121</v>
      </c>
      <c r="C127" s="2">
        <v>46128</v>
      </c>
      <c r="D127" s="10" t="s">
        <v>785</v>
      </c>
      <c r="E127" s="4"/>
      <c r="F127" s="33">
        <v>80000</v>
      </c>
      <c r="G127" s="5">
        <f t="shared" si="5"/>
        <v>71915721</v>
      </c>
    </row>
    <row r="128" spans="2:7" ht="18.75" customHeight="1">
      <c r="B128" s="1">
        <v>122</v>
      </c>
      <c r="C128" s="2">
        <v>46128</v>
      </c>
      <c r="D128" s="10" t="s">
        <v>786</v>
      </c>
      <c r="E128" s="4"/>
      <c r="F128" s="33">
        <v>121000</v>
      </c>
      <c r="G128" s="5">
        <f t="shared" si="5"/>
        <v>71794721</v>
      </c>
    </row>
    <row r="129" spans="2:7" ht="18.75" customHeight="1">
      <c r="B129" s="1">
        <v>123</v>
      </c>
      <c r="C129" s="2">
        <v>46128</v>
      </c>
      <c r="D129" s="10" t="s">
        <v>787</v>
      </c>
      <c r="E129" s="4"/>
      <c r="F129" s="33">
        <v>393100</v>
      </c>
      <c r="G129" s="5">
        <f t="shared" si="5"/>
        <v>71401621</v>
      </c>
    </row>
    <row r="130" spans="2:7" ht="18.75" customHeight="1">
      <c r="B130" s="1">
        <v>124</v>
      </c>
      <c r="C130" s="2">
        <v>46128</v>
      </c>
      <c r="D130" s="10" t="s">
        <v>788</v>
      </c>
      <c r="E130" s="4"/>
      <c r="F130" s="33">
        <v>762500</v>
      </c>
      <c r="G130" s="5">
        <f t="shared" si="5"/>
        <v>70639121</v>
      </c>
    </row>
    <row r="131" spans="2:7" ht="18.75" customHeight="1">
      <c r="B131" s="1">
        <v>125</v>
      </c>
      <c r="C131" s="2">
        <v>46128</v>
      </c>
      <c r="D131" s="10" t="s">
        <v>789</v>
      </c>
      <c r="E131" s="4"/>
      <c r="F131" s="33">
        <v>276608</v>
      </c>
      <c r="G131" s="5">
        <f t="shared" si="5"/>
        <v>70362513</v>
      </c>
    </row>
    <row r="132" spans="2:7" ht="18.75" customHeight="1">
      <c r="B132" s="1">
        <v>126</v>
      </c>
      <c r="C132" s="2">
        <v>46128</v>
      </c>
      <c r="D132" s="10" t="s">
        <v>790</v>
      </c>
      <c r="E132" s="4"/>
      <c r="F132" s="33">
        <v>200000</v>
      </c>
      <c r="G132" s="5">
        <f t="shared" si="5"/>
        <v>70162513</v>
      </c>
    </row>
    <row r="133" spans="2:7" ht="18.75" customHeight="1">
      <c r="B133" s="1">
        <v>127</v>
      </c>
      <c r="C133" s="2">
        <v>46128</v>
      </c>
      <c r="D133" s="10" t="s">
        <v>630</v>
      </c>
      <c r="E133" s="4"/>
      <c r="F133" s="33">
        <v>480000</v>
      </c>
      <c r="G133" s="5">
        <f t="shared" si="5"/>
        <v>69682513</v>
      </c>
    </row>
    <row r="134" spans="2:7" ht="18.75" customHeight="1">
      <c r="B134" s="1">
        <v>128</v>
      </c>
      <c r="C134" s="2">
        <v>46129</v>
      </c>
      <c r="D134" s="10" t="s">
        <v>791</v>
      </c>
      <c r="E134" s="4"/>
      <c r="F134" s="33">
        <v>536000</v>
      </c>
      <c r="G134" s="5">
        <f t="shared" si="5"/>
        <v>69146513</v>
      </c>
    </row>
    <row r="135" spans="2:7" ht="18.75" customHeight="1">
      <c r="B135" s="1">
        <v>129</v>
      </c>
      <c r="C135" s="2">
        <v>46129</v>
      </c>
      <c r="D135" s="10" t="s">
        <v>792</v>
      </c>
      <c r="E135" s="4"/>
      <c r="F135" s="33">
        <v>763000</v>
      </c>
      <c r="G135" s="5">
        <f t="shared" si="5"/>
        <v>68383513</v>
      </c>
    </row>
    <row r="136" spans="2:7" ht="18.75" customHeight="1">
      <c r="B136" s="1">
        <v>130</v>
      </c>
      <c r="C136" s="2">
        <v>46129</v>
      </c>
      <c r="D136" s="10" t="s">
        <v>414</v>
      </c>
      <c r="E136" s="4"/>
      <c r="F136" s="33">
        <v>1540000</v>
      </c>
      <c r="G136" s="5">
        <f t="shared" si="5"/>
        <v>66843513</v>
      </c>
    </row>
    <row r="137" spans="2:7" ht="18.75" customHeight="1">
      <c r="B137" s="1">
        <v>131</v>
      </c>
      <c r="C137" s="2">
        <v>46129</v>
      </c>
      <c r="D137" s="10" t="s">
        <v>774</v>
      </c>
      <c r="E137" s="4"/>
      <c r="F137" s="38">
        <v>250000</v>
      </c>
      <c r="G137" s="5">
        <f t="shared" si="5"/>
        <v>66593513</v>
      </c>
    </row>
    <row r="138" spans="2:7" ht="18.75" customHeight="1">
      <c r="B138" s="1">
        <v>132</v>
      </c>
      <c r="C138" s="2">
        <v>46129</v>
      </c>
      <c r="D138" s="10" t="s">
        <v>793</v>
      </c>
      <c r="E138" s="4"/>
      <c r="F138" s="38">
        <v>150000</v>
      </c>
      <c r="G138" s="5">
        <f t="shared" si="5"/>
        <v>66443513</v>
      </c>
    </row>
    <row r="139" spans="2:7" ht="18.75" customHeight="1">
      <c r="B139" s="1">
        <v>133</v>
      </c>
      <c r="C139" s="2">
        <v>46129</v>
      </c>
      <c r="D139" s="10" t="s">
        <v>794</v>
      </c>
      <c r="E139" s="4"/>
      <c r="F139" s="34">
        <v>4807000</v>
      </c>
      <c r="G139" s="5">
        <f t="shared" si="5"/>
        <v>61636513</v>
      </c>
    </row>
    <row r="140" spans="2:7" ht="18.75" customHeight="1">
      <c r="B140" s="1">
        <v>134</v>
      </c>
      <c r="C140" s="2">
        <v>46129</v>
      </c>
      <c r="D140" s="10" t="s">
        <v>795</v>
      </c>
      <c r="E140" s="4"/>
      <c r="F140" s="34">
        <v>5000000</v>
      </c>
      <c r="G140" s="5">
        <f t="shared" si="5"/>
        <v>56636513</v>
      </c>
    </row>
    <row r="141" spans="2:7" ht="18.75" customHeight="1">
      <c r="B141" s="1">
        <v>135</v>
      </c>
      <c r="C141" s="2">
        <v>46130</v>
      </c>
      <c r="D141" s="10" t="s">
        <v>796</v>
      </c>
      <c r="E141" s="4"/>
      <c r="F141" s="33">
        <v>605000</v>
      </c>
      <c r="G141" s="5">
        <f t="shared" si="5"/>
        <v>56031513</v>
      </c>
    </row>
    <row r="142" spans="2:7" ht="18.75" customHeight="1">
      <c r="B142" s="1">
        <v>136</v>
      </c>
      <c r="C142" s="2">
        <v>46130</v>
      </c>
      <c r="D142" s="10" t="s">
        <v>797</v>
      </c>
      <c r="E142" s="4"/>
      <c r="F142" s="33">
        <v>2627000</v>
      </c>
      <c r="G142" s="5">
        <f t="shared" si="5"/>
        <v>53404513</v>
      </c>
    </row>
    <row r="143" spans="2:7" ht="18.75" customHeight="1">
      <c r="B143" s="1">
        <v>137</v>
      </c>
      <c r="C143" s="2">
        <v>46130</v>
      </c>
      <c r="D143" s="10" t="s">
        <v>798</v>
      </c>
      <c r="E143" s="4"/>
      <c r="F143" s="33">
        <v>900000</v>
      </c>
      <c r="G143" s="5">
        <f t="shared" si="5"/>
        <v>52504513</v>
      </c>
    </row>
    <row r="144" spans="2:7" ht="18.75" customHeight="1">
      <c r="B144" s="1">
        <v>138</v>
      </c>
      <c r="C144" s="2">
        <v>46130</v>
      </c>
      <c r="D144" s="10" t="s">
        <v>437</v>
      </c>
      <c r="E144" s="4"/>
      <c r="F144" s="34">
        <v>3000000</v>
      </c>
      <c r="G144" s="5">
        <f t="shared" si="5"/>
        <v>49504513</v>
      </c>
    </row>
    <row r="145" spans="2:7" ht="18.75" customHeight="1">
      <c r="B145" s="1">
        <v>139</v>
      </c>
      <c r="C145" s="2">
        <v>46130</v>
      </c>
      <c r="D145" s="10" t="s">
        <v>365</v>
      </c>
      <c r="E145" s="4"/>
      <c r="F145" s="34">
        <v>4360000</v>
      </c>
      <c r="G145" s="5">
        <f t="shared" si="5"/>
        <v>45144513</v>
      </c>
    </row>
    <row r="146" spans="2:7" ht="18.75" customHeight="1">
      <c r="B146" s="1">
        <v>140</v>
      </c>
      <c r="C146" s="2">
        <v>46130</v>
      </c>
      <c r="D146" s="10" t="s">
        <v>799</v>
      </c>
      <c r="E146" s="4"/>
      <c r="F146" s="33">
        <v>105000</v>
      </c>
      <c r="G146" s="5">
        <f t="shared" si="5"/>
        <v>45039513</v>
      </c>
    </row>
    <row r="147" spans="2:7" ht="18.75" customHeight="1">
      <c r="B147" s="1">
        <v>141</v>
      </c>
      <c r="C147" s="2">
        <v>46130</v>
      </c>
      <c r="D147" s="10" t="s">
        <v>124</v>
      </c>
      <c r="E147" s="4"/>
      <c r="F147" s="38">
        <v>186000</v>
      </c>
      <c r="G147" s="5">
        <f t="shared" si="5"/>
        <v>44853513</v>
      </c>
    </row>
    <row r="148" spans="2:7" ht="18.75" customHeight="1">
      <c r="B148" s="1">
        <v>142</v>
      </c>
      <c r="C148" s="2">
        <v>46132</v>
      </c>
      <c r="D148" s="10" t="s">
        <v>800</v>
      </c>
      <c r="E148" s="4"/>
      <c r="F148" s="33">
        <v>927000</v>
      </c>
      <c r="G148" s="5">
        <f t="shared" si="5"/>
        <v>43926513</v>
      </c>
    </row>
    <row r="149" spans="2:7" ht="18.75" customHeight="1">
      <c r="B149" s="1">
        <v>143</v>
      </c>
      <c r="C149" s="2">
        <v>46132</v>
      </c>
      <c r="D149" s="10" t="s">
        <v>457</v>
      </c>
      <c r="E149" s="4"/>
      <c r="F149" s="33">
        <v>90000</v>
      </c>
      <c r="G149" s="5">
        <f t="shared" si="5"/>
        <v>43836513</v>
      </c>
    </row>
    <row r="150" spans="2:7" ht="18.75" customHeight="1">
      <c r="B150" s="1">
        <v>144</v>
      </c>
      <c r="C150" s="2">
        <v>46132</v>
      </c>
      <c r="D150" s="10" t="s">
        <v>687</v>
      </c>
      <c r="E150" s="4"/>
      <c r="F150" s="33">
        <v>495000</v>
      </c>
      <c r="G150" s="5">
        <f t="shared" si="5"/>
        <v>43341513</v>
      </c>
    </row>
    <row r="151" spans="2:7" ht="18.75" customHeight="1">
      <c r="B151" s="1">
        <v>145</v>
      </c>
      <c r="C151" s="2">
        <v>46132</v>
      </c>
      <c r="D151" s="10" t="s">
        <v>748</v>
      </c>
      <c r="E151" s="4"/>
      <c r="F151" s="33">
        <v>35000</v>
      </c>
      <c r="G151" s="5">
        <f t="shared" si="5"/>
        <v>43306513</v>
      </c>
    </row>
    <row r="152" spans="2:7" ht="18.75" customHeight="1">
      <c r="B152" s="1">
        <v>146</v>
      </c>
      <c r="C152" s="2">
        <v>46132</v>
      </c>
      <c r="D152" s="10" t="s">
        <v>465</v>
      </c>
      <c r="E152" s="4"/>
      <c r="F152" s="33">
        <v>620000</v>
      </c>
      <c r="G152" s="5">
        <f t="shared" si="5"/>
        <v>42686513</v>
      </c>
    </row>
    <row r="153" spans="2:7" ht="18.75" customHeight="1">
      <c r="B153" s="1">
        <v>147</v>
      </c>
      <c r="C153" s="2">
        <v>46132</v>
      </c>
      <c r="D153" s="10" t="s">
        <v>795</v>
      </c>
      <c r="E153" s="4"/>
      <c r="F153" s="34">
        <v>5000000</v>
      </c>
      <c r="G153" s="5">
        <f t="shared" si="5"/>
        <v>37686513</v>
      </c>
    </row>
    <row r="154" spans="2:7" ht="18.75" customHeight="1">
      <c r="B154" s="1">
        <v>148</v>
      </c>
      <c r="C154" s="2">
        <v>46133</v>
      </c>
      <c r="D154" s="10" t="s">
        <v>687</v>
      </c>
      <c r="E154" s="4"/>
      <c r="F154" s="33">
        <v>391000</v>
      </c>
      <c r="G154" s="5">
        <f t="shared" si="5"/>
        <v>37295513</v>
      </c>
    </row>
    <row r="155" spans="2:7" ht="18.75" customHeight="1">
      <c r="B155" s="1">
        <v>149</v>
      </c>
      <c r="C155" s="2">
        <v>46133</v>
      </c>
      <c r="D155" s="10" t="s">
        <v>360</v>
      </c>
      <c r="E155" s="4"/>
      <c r="F155" s="34">
        <v>1000000</v>
      </c>
      <c r="G155" s="5">
        <f t="shared" si="5"/>
        <v>36295513</v>
      </c>
    </row>
    <row r="156" spans="2:7" ht="18.75" customHeight="1">
      <c r="B156" s="1">
        <v>150</v>
      </c>
      <c r="C156" s="2">
        <v>46134</v>
      </c>
      <c r="D156" s="10" t="s">
        <v>706</v>
      </c>
      <c r="E156" s="4"/>
      <c r="F156" s="33">
        <v>120000</v>
      </c>
      <c r="G156" s="5">
        <f t="shared" si="5"/>
        <v>36175513</v>
      </c>
    </row>
    <row r="157" spans="2:7" ht="18.75" customHeight="1">
      <c r="B157" s="1">
        <v>151</v>
      </c>
      <c r="C157" s="2">
        <v>46134</v>
      </c>
      <c r="D157" s="10" t="s">
        <v>801</v>
      </c>
      <c r="E157" s="4"/>
      <c r="F157" s="33">
        <v>19000</v>
      </c>
      <c r="G157" s="5">
        <f t="shared" si="5"/>
        <v>36156513</v>
      </c>
    </row>
    <row r="158" spans="2:7" ht="18.75" customHeight="1">
      <c r="B158" s="1">
        <v>152</v>
      </c>
      <c r="C158" s="2">
        <v>46134</v>
      </c>
      <c r="D158" s="10" t="s">
        <v>802</v>
      </c>
      <c r="E158" s="4"/>
      <c r="F158" s="33">
        <v>22960</v>
      </c>
      <c r="G158" s="5">
        <f t="shared" si="5"/>
        <v>36133553</v>
      </c>
    </row>
    <row r="159" spans="2:7" ht="18.75" customHeight="1">
      <c r="B159" s="1">
        <v>153</v>
      </c>
      <c r="C159" s="2">
        <v>46134</v>
      </c>
      <c r="D159" s="10" t="s">
        <v>434</v>
      </c>
      <c r="E159" s="4"/>
      <c r="F159" s="33">
        <v>95000</v>
      </c>
      <c r="G159" s="5">
        <f t="shared" si="5"/>
        <v>36038553</v>
      </c>
    </row>
    <row r="160" spans="2:7" ht="18.75" customHeight="1">
      <c r="B160" s="1">
        <v>154</v>
      </c>
      <c r="C160" s="2">
        <v>46134</v>
      </c>
      <c r="D160" s="10" t="s">
        <v>803</v>
      </c>
      <c r="E160" s="4"/>
      <c r="F160" s="38">
        <v>40000</v>
      </c>
      <c r="G160" s="5">
        <f t="shared" si="5"/>
        <v>35998553</v>
      </c>
    </row>
    <row r="161" spans="2:7" ht="18.75" customHeight="1">
      <c r="B161" s="1">
        <v>155</v>
      </c>
      <c r="C161" s="2">
        <v>46134</v>
      </c>
      <c r="D161" s="10" t="s">
        <v>804</v>
      </c>
      <c r="E161" s="4"/>
      <c r="F161" s="33">
        <v>216399</v>
      </c>
      <c r="G161" s="5">
        <f t="shared" si="5"/>
        <v>35782154</v>
      </c>
    </row>
    <row r="162" spans="2:7" ht="18.75" customHeight="1">
      <c r="B162" s="1">
        <v>156</v>
      </c>
      <c r="C162" s="2">
        <v>46134</v>
      </c>
      <c r="D162" s="10" t="s">
        <v>567</v>
      </c>
      <c r="E162" s="4"/>
      <c r="F162" s="33">
        <v>1007380</v>
      </c>
      <c r="G162" s="5">
        <f t="shared" si="5"/>
        <v>34774774</v>
      </c>
    </row>
    <row r="163" spans="2:7" ht="18.75" customHeight="1">
      <c r="B163" s="1">
        <v>157</v>
      </c>
      <c r="C163" s="2">
        <v>46134</v>
      </c>
      <c r="D163" s="10" t="s">
        <v>805</v>
      </c>
      <c r="E163" s="4"/>
      <c r="F163" s="33">
        <v>305000</v>
      </c>
      <c r="G163" s="5">
        <f t="shared" si="5"/>
        <v>34469774</v>
      </c>
    </row>
    <row r="164" spans="2:7" ht="18.75" customHeight="1">
      <c r="B164" s="1">
        <v>158</v>
      </c>
      <c r="C164" s="2">
        <v>46134</v>
      </c>
      <c r="D164" s="10" t="s">
        <v>434</v>
      </c>
      <c r="E164" s="4"/>
      <c r="F164" s="33">
        <v>290000</v>
      </c>
      <c r="G164" s="5">
        <f>G163-F164</f>
        <v>34179774</v>
      </c>
    </row>
    <row r="165" spans="2:7" ht="18.75" customHeight="1">
      <c r="B165" s="1">
        <v>159</v>
      </c>
      <c r="C165" s="2">
        <v>46134</v>
      </c>
      <c r="D165" s="10" t="s">
        <v>483</v>
      </c>
      <c r="E165" s="4">
        <v>50000000</v>
      </c>
      <c r="F165" s="4"/>
      <c r="G165" s="5">
        <f>G164+E165</f>
        <v>84179774</v>
      </c>
    </row>
    <row r="166" spans="2:7" ht="18.75" customHeight="1">
      <c r="B166" s="1">
        <v>160</v>
      </c>
      <c r="C166" s="2">
        <v>46135</v>
      </c>
      <c r="D166" s="10" t="s">
        <v>806</v>
      </c>
      <c r="E166" s="4"/>
      <c r="F166" s="33">
        <v>2250000</v>
      </c>
      <c r="G166" s="5">
        <f>G165-F166</f>
        <v>81929774</v>
      </c>
    </row>
    <row r="167" spans="2:7" ht="18.75" customHeight="1">
      <c r="B167" s="1">
        <v>161</v>
      </c>
      <c r="C167" s="2">
        <v>46135</v>
      </c>
      <c r="D167" s="10" t="s">
        <v>437</v>
      </c>
      <c r="E167" s="4"/>
      <c r="F167" s="34">
        <v>1000000</v>
      </c>
      <c r="G167" s="5">
        <f>G166-F167</f>
        <v>80929774</v>
      </c>
    </row>
    <row r="168" spans="2:7" ht="18.75" customHeight="1">
      <c r="B168" s="1">
        <v>162</v>
      </c>
      <c r="C168" s="2">
        <v>46135</v>
      </c>
      <c r="D168" s="10" t="s">
        <v>807</v>
      </c>
      <c r="E168" s="4"/>
      <c r="F168" s="33">
        <v>298000</v>
      </c>
      <c r="G168" s="5">
        <f>G167-F168</f>
        <v>80631774</v>
      </c>
    </row>
    <row r="169" spans="2:7" ht="18.75" customHeight="1">
      <c r="B169" s="1">
        <v>163</v>
      </c>
      <c r="C169" s="2">
        <v>46135</v>
      </c>
      <c r="D169" s="10" t="s">
        <v>808</v>
      </c>
      <c r="E169" s="4"/>
      <c r="F169" s="33">
        <v>600000</v>
      </c>
      <c r="G169" s="5">
        <f>G168-F169</f>
        <v>80031774</v>
      </c>
    </row>
    <row r="170" spans="2:7" ht="18.75" customHeight="1">
      <c r="B170" s="1">
        <v>164</v>
      </c>
      <c r="C170" s="2">
        <v>46135</v>
      </c>
      <c r="D170" s="10" t="s">
        <v>809</v>
      </c>
      <c r="E170" s="4"/>
      <c r="F170" s="33">
        <v>192292</v>
      </c>
      <c r="G170" s="5">
        <f>G169-F170</f>
        <v>79839482</v>
      </c>
    </row>
    <row r="171" spans="2:7" ht="18.75" customHeight="1">
      <c r="B171" s="1">
        <v>165</v>
      </c>
      <c r="C171" s="2">
        <v>46136</v>
      </c>
      <c r="D171" s="10" t="s">
        <v>635</v>
      </c>
      <c r="E171" s="4"/>
      <c r="F171" s="33">
        <v>107000</v>
      </c>
      <c r="G171" s="5">
        <f>G170-F171</f>
        <v>79732482</v>
      </c>
    </row>
    <row r="172" spans="2:7" ht="18.75" customHeight="1">
      <c r="B172" s="1">
        <v>166</v>
      </c>
      <c r="C172" s="2">
        <v>46136</v>
      </c>
      <c r="D172" s="10" t="s">
        <v>810</v>
      </c>
      <c r="E172" s="4"/>
      <c r="F172" s="33">
        <v>45000</v>
      </c>
      <c r="G172" s="5">
        <f>G171-F172</f>
        <v>79687482</v>
      </c>
    </row>
    <row r="173" spans="2:7" ht="18.75" customHeight="1">
      <c r="B173" s="1">
        <v>167</v>
      </c>
      <c r="C173" s="2">
        <v>46136</v>
      </c>
      <c r="D173" s="10" t="s">
        <v>643</v>
      </c>
      <c r="E173" s="4"/>
      <c r="F173" s="33">
        <v>480000</v>
      </c>
      <c r="G173" s="5">
        <f>G172-F173</f>
        <v>79207482</v>
      </c>
    </row>
    <row r="174" spans="2:7" ht="18.75" customHeight="1">
      <c r="B174" s="1">
        <v>168</v>
      </c>
      <c r="C174" s="2">
        <v>46136</v>
      </c>
      <c r="D174" s="10" t="s">
        <v>774</v>
      </c>
      <c r="E174" s="4"/>
      <c r="F174" s="38">
        <v>250000</v>
      </c>
      <c r="G174" s="5">
        <f>G173-F174</f>
        <v>78957482</v>
      </c>
    </row>
    <row r="175" spans="2:7" ht="18.75" customHeight="1">
      <c r="B175" s="1">
        <v>169</v>
      </c>
      <c r="C175" s="2">
        <v>46137</v>
      </c>
      <c r="D175" s="10" t="s">
        <v>422</v>
      </c>
      <c r="E175" s="4"/>
      <c r="F175" s="38">
        <v>375000</v>
      </c>
      <c r="G175" s="5">
        <f>G174-F175</f>
        <v>78582482</v>
      </c>
    </row>
    <row r="176" spans="2:7" ht="18.75" customHeight="1">
      <c r="B176" s="1">
        <v>170</v>
      </c>
      <c r="C176" s="2">
        <v>46137</v>
      </c>
      <c r="D176" s="10" t="s">
        <v>811</v>
      </c>
      <c r="E176" s="4"/>
      <c r="F176" s="33">
        <v>50000</v>
      </c>
      <c r="G176" s="5">
        <f>G175-F176</f>
        <v>78532482</v>
      </c>
    </row>
    <row r="177" spans="2:7" ht="18.75" customHeight="1">
      <c r="B177" s="1">
        <v>171</v>
      </c>
      <c r="C177" s="2">
        <v>46137</v>
      </c>
      <c r="D177" s="10" t="s">
        <v>812</v>
      </c>
      <c r="E177" s="4"/>
      <c r="F177" s="33">
        <v>400000</v>
      </c>
      <c r="G177" s="5">
        <f>G176-F177</f>
        <v>78132482</v>
      </c>
    </row>
    <row r="178" spans="2:7" ht="18.75" customHeight="1">
      <c r="B178" s="1">
        <v>172</v>
      </c>
      <c r="C178" s="2">
        <v>46137</v>
      </c>
      <c r="D178" s="10" t="s">
        <v>365</v>
      </c>
      <c r="E178" s="4"/>
      <c r="F178" s="34">
        <v>4520000</v>
      </c>
      <c r="G178" s="5">
        <f>G177-F178</f>
        <v>73612482</v>
      </c>
    </row>
    <row r="179" spans="2:7" ht="18.75" customHeight="1">
      <c r="B179" s="1">
        <v>173</v>
      </c>
      <c r="C179" s="2">
        <v>46137</v>
      </c>
      <c r="D179" s="10" t="s">
        <v>437</v>
      </c>
      <c r="E179" s="4"/>
      <c r="F179" s="34">
        <v>8000000</v>
      </c>
      <c r="G179" s="5">
        <f>G178-F179</f>
        <v>65612482</v>
      </c>
    </row>
    <row r="180" spans="2:7" ht="18.75" customHeight="1">
      <c r="B180" s="1">
        <v>174</v>
      </c>
      <c r="C180" s="2">
        <v>46137</v>
      </c>
      <c r="D180" s="10" t="s">
        <v>813</v>
      </c>
      <c r="E180" s="4"/>
      <c r="F180" s="34">
        <v>150000</v>
      </c>
      <c r="G180" s="5">
        <f>G179-F180</f>
        <v>65462482</v>
      </c>
    </row>
    <row r="181" spans="2:7" ht="18.75" customHeight="1">
      <c r="B181" s="1">
        <v>175</v>
      </c>
      <c r="C181" s="2">
        <v>46139</v>
      </c>
      <c r="D181" s="10" t="s">
        <v>782</v>
      </c>
      <c r="E181" s="4"/>
      <c r="F181" s="33">
        <v>240000</v>
      </c>
      <c r="G181" s="5">
        <f>G180-F181</f>
        <v>65222482</v>
      </c>
    </row>
    <row r="182" spans="2:7" ht="18.75" customHeight="1">
      <c r="B182" s="1">
        <v>176</v>
      </c>
      <c r="C182" s="2">
        <v>46140</v>
      </c>
      <c r="D182" s="10" t="s">
        <v>814</v>
      </c>
      <c r="E182" s="4"/>
      <c r="F182" s="38">
        <v>100000</v>
      </c>
      <c r="G182" s="5">
        <f>G181-F182</f>
        <v>65122482</v>
      </c>
    </row>
    <row r="183" spans="2:7" ht="18.75" customHeight="1">
      <c r="B183" s="1">
        <v>177</v>
      </c>
      <c r="C183" s="2">
        <v>46140</v>
      </c>
      <c r="D183" s="10" t="s">
        <v>437</v>
      </c>
      <c r="E183" s="4"/>
      <c r="F183" s="34">
        <v>500000</v>
      </c>
      <c r="G183" s="5">
        <f>G182-F183</f>
        <v>64622482</v>
      </c>
    </row>
    <row r="184" spans="2:7" ht="18.75" customHeight="1">
      <c r="B184" s="1">
        <v>178</v>
      </c>
      <c r="C184" s="2">
        <v>46144</v>
      </c>
      <c r="D184" s="10" t="s">
        <v>711</v>
      </c>
      <c r="E184" s="4"/>
      <c r="F184" s="34">
        <v>1100000</v>
      </c>
      <c r="G184" s="5">
        <f>G183-F184</f>
        <v>63522482</v>
      </c>
    </row>
    <row r="185" spans="2:7" ht="18.75" customHeight="1" thickBot="1">
      <c r="B185" s="1">
        <v>179</v>
      </c>
      <c r="C185" s="2">
        <v>46150</v>
      </c>
      <c r="D185" s="10" t="s">
        <v>815</v>
      </c>
      <c r="E185" s="4">
        <v>20500000</v>
      </c>
      <c r="F185" s="4"/>
      <c r="G185" s="5">
        <f>G184+E185</f>
        <v>84022482</v>
      </c>
    </row>
    <row r="186" spans="2:7" ht="18.75" customHeight="1" thickTop="1" thickBot="1">
      <c r="B186" s="66" t="s">
        <v>337</v>
      </c>
      <c r="C186" s="97"/>
      <c r="D186" s="67"/>
      <c r="E186" s="9">
        <f>SUM(E7:E185)</f>
        <v>273400000</v>
      </c>
      <c r="F186" s="9">
        <f>SUM(F7:F185)</f>
        <v>189377518</v>
      </c>
      <c r="G186" s="60">
        <f>E186-F186</f>
        <v>84022482</v>
      </c>
    </row>
    <row r="187" spans="2:7" ht="15.75" thickTop="1">
      <c r="G187" s="55">
        <f>G186/E186</f>
        <v>0.3073243672275055</v>
      </c>
    </row>
  </sheetData>
  <mergeCells count="5">
    <mergeCell ref="B2:G2"/>
    <mergeCell ref="B3:G3"/>
    <mergeCell ref="B4:G4"/>
    <mergeCell ref="B5:G5"/>
    <mergeCell ref="B186:D186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A04F-7927-8340-BDAF-5BE022AE7119}">
  <dimension ref="B1:J12"/>
  <sheetViews>
    <sheetView workbookViewId="0">
      <selection activeCell="B2" sqref="B2"/>
    </sheetView>
  </sheetViews>
  <sheetFormatPr defaultRowHeight="15"/>
  <cols>
    <col min="3" max="3" width="14.42578125" customWidth="1"/>
    <col min="4" max="4" width="46.85546875" customWidth="1"/>
    <col min="5" max="7" width="19.85546875" customWidth="1"/>
    <col min="8" max="8" width="9.140625" bestFit="1" customWidth="1"/>
    <col min="9" max="9" width="30.85546875" customWidth="1"/>
    <col min="10" max="10" width="37" customWidth="1"/>
  </cols>
  <sheetData>
    <row r="1" spans="2:10" ht="15.75" thickBot="1"/>
    <row r="2" spans="2:10" ht="25.5" customHeight="1" thickTop="1">
      <c r="B2" s="85" t="s">
        <v>1</v>
      </c>
      <c r="C2" s="86"/>
      <c r="D2" s="86"/>
      <c r="E2" s="86"/>
      <c r="F2" s="86"/>
      <c r="G2" s="87"/>
    </row>
    <row r="3" spans="2:10" ht="25.5" customHeight="1">
      <c r="B3" s="88" t="s">
        <v>816</v>
      </c>
      <c r="C3" s="89"/>
      <c r="D3" s="89"/>
      <c r="E3" s="89"/>
      <c r="F3" s="89"/>
      <c r="G3" s="90"/>
    </row>
    <row r="4" spans="2:10" ht="25.5" customHeight="1">
      <c r="B4" s="91" t="s">
        <v>2</v>
      </c>
      <c r="C4" s="92"/>
      <c r="D4" s="92"/>
      <c r="E4" s="92"/>
      <c r="F4" s="92"/>
      <c r="G4" s="93"/>
    </row>
    <row r="5" spans="2:10" ht="25.5" customHeight="1" thickBot="1">
      <c r="B5" s="94">
        <v>2026</v>
      </c>
      <c r="C5" s="95"/>
      <c r="D5" s="95"/>
      <c r="E5" s="95"/>
      <c r="F5" s="95"/>
      <c r="G5" s="96"/>
      <c r="I5" s="14"/>
    </row>
    <row r="6" spans="2:10" ht="24.75" customHeight="1" thickTop="1" thickBot="1">
      <c r="B6" s="6" t="s">
        <v>3</v>
      </c>
      <c r="C6" s="7" t="s">
        <v>53</v>
      </c>
      <c r="D6" s="7" t="s">
        <v>4</v>
      </c>
      <c r="E6" s="7" t="s">
        <v>5</v>
      </c>
      <c r="F6" s="7" t="s">
        <v>6</v>
      </c>
      <c r="G6" s="8" t="s">
        <v>54</v>
      </c>
      <c r="I6" s="13" t="s">
        <v>55</v>
      </c>
      <c r="J6" s="13" t="s">
        <v>7</v>
      </c>
    </row>
    <row r="7" spans="2:10" ht="18.75" customHeight="1" thickTop="1">
      <c r="B7" s="1">
        <v>1</v>
      </c>
      <c r="C7" s="2">
        <v>46039</v>
      </c>
      <c r="D7" s="3" t="s">
        <v>677</v>
      </c>
      <c r="E7" s="4">
        <v>1800000</v>
      </c>
      <c r="F7" s="4"/>
      <c r="G7" s="5">
        <f>E7</f>
        <v>1800000</v>
      </c>
      <c r="I7" s="16" t="s">
        <v>27</v>
      </c>
      <c r="J7" s="5">
        <f>F9</f>
        <v>163000</v>
      </c>
    </row>
    <row r="8" spans="2:10" ht="18.75" customHeight="1">
      <c r="B8" s="1">
        <v>2</v>
      </c>
      <c r="C8" s="2">
        <v>46061</v>
      </c>
      <c r="D8" s="3" t="s">
        <v>817</v>
      </c>
      <c r="E8" s="4">
        <v>3000000</v>
      </c>
      <c r="F8" s="4"/>
      <c r="G8" s="5">
        <f>G7+E8</f>
        <v>4800000</v>
      </c>
      <c r="I8" s="17" t="s">
        <v>28</v>
      </c>
      <c r="J8" s="5"/>
    </row>
    <row r="9" spans="2:10" ht="18.75" customHeight="1">
      <c r="B9" s="1">
        <v>3</v>
      </c>
      <c r="C9" s="2">
        <v>46069</v>
      </c>
      <c r="D9" s="3" t="s">
        <v>818</v>
      </c>
      <c r="E9" s="4"/>
      <c r="F9" s="33">
        <v>163000</v>
      </c>
      <c r="G9" s="5">
        <f>G8-F9</f>
        <v>4637000</v>
      </c>
      <c r="I9" s="18" t="s">
        <v>29</v>
      </c>
      <c r="J9" s="5"/>
    </row>
    <row r="10" spans="2:10" ht="18.75" customHeight="1" thickBot="1">
      <c r="B10" s="1">
        <v>4</v>
      </c>
      <c r="C10" s="2">
        <v>46069</v>
      </c>
      <c r="D10" s="3" t="s">
        <v>677</v>
      </c>
      <c r="E10" s="4">
        <v>1000000</v>
      </c>
      <c r="F10" s="4"/>
      <c r="G10" s="5">
        <f>G9+E10</f>
        <v>5637000</v>
      </c>
      <c r="I10" s="19" t="s">
        <v>30</v>
      </c>
      <c r="J10" s="15"/>
    </row>
    <row r="11" spans="2:10" ht="18.75" customHeight="1" thickTop="1" thickBot="1">
      <c r="B11" s="66" t="s">
        <v>337</v>
      </c>
      <c r="C11" s="97"/>
      <c r="D11" s="67"/>
      <c r="E11" s="9">
        <f>SUM(E7:E10)</f>
        <v>5800000</v>
      </c>
      <c r="F11" s="9">
        <f>SUM(F7:F10)</f>
        <v>163000</v>
      </c>
      <c r="G11" s="60">
        <f>E11-F11</f>
        <v>5637000</v>
      </c>
    </row>
    <row r="12" spans="2:10" ht="15.75" thickTop="1"/>
  </sheetData>
  <mergeCells count="5">
    <mergeCell ref="B2:G2"/>
    <mergeCell ref="B3:G3"/>
    <mergeCell ref="B4:G4"/>
    <mergeCell ref="B5:G5"/>
    <mergeCell ref="B11:D11"/>
  </mergeCells>
  <pageMargins left="0.7" right="0.7" top="0.75" bottom="0.75" header="0.3" footer="0.3"/>
  <pageSetup paperSize="9"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2025-02-08T07:39:33Z</dcterms:created>
  <dcterms:modified xsi:type="dcterms:W3CDTF">2026-10-15T05:51:15Z</dcterms:modified>
  <cp:category/>
  <cp:contentStatus/>
</cp:coreProperties>
</file>